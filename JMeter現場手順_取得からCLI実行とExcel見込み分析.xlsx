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使い方" sheetId="2" state="visible" r:id="rId2"/>
    <sheet xmlns:r="http://schemas.openxmlformats.org/officeDocument/2006/relationships" name="02_全体の流れ" sheetId="3" state="visible" r:id="rId3"/>
    <sheet xmlns:r="http://schemas.openxmlformats.org/officeDocument/2006/relationships" name="03_用語" sheetId="4" state="visible" r:id="rId4"/>
    <sheet xmlns:r="http://schemas.openxmlformats.org/officeDocument/2006/relationships" name="04_成果物と役割" sheetId="5" state="visible" r:id="rId5"/>
    <sheet xmlns:r="http://schemas.openxmlformats.org/officeDocument/2006/relationships" name="05_Javaの準備" sheetId="6" state="visible" r:id="rId6"/>
    <sheet xmlns:r="http://schemas.openxmlformats.org/officeDocument/2006/relationships" name="06_JMeterの取得" sheetId="7" state="visible" r:id="rId7"/>
    <sheet xmlns:r="http://schemas.openxmlformats.org/officeDocument/2006/relationships" name="07_Windowsへ導入" sheetId="8" state="visible" r:id="rId8"/>
    <sheet xmlns:r="http://schemas.openxmlformats.org/officeDocument/2006/relationships" name="08_初期設定" sheetId="9" state="visible" r:id="rId9"/>
    <sheet xmlns:r="http://schemas.openxmlformats.org/officeDocument/2006/relationships" name="09_画面の見方" sheetId="10" state="visible" r:id="rId10"/>
    <sheet xmlns:r="http://schemas.openxmlformats.org/officeDocument/2006/relationships" name="10_要素の追加" sheetId="11" state="visible" r:id="rId11"/>
    <sheet xmlns:r="http://schemas.openxmlformats.org/officeDocument/2006/relationships" name="11_機能カタログ" sheetId="12" state="visible" r:id="rId12"/>
    <sheet xmlns:r="http://schemas.openxmlformats.org/officeDocument/2006/relationships" name="12_シナリオ作成" sheetId="13" state="visible" r:id="rId13"/>
    <sheet xmlns:r="http://schemas.openxmlformats.org/officeDocument/2006/relationships" name="13_データと相関" sheetId="14" state="visible" r:id="rId14"/>
    <sheet xmlns:r="http://schemas.openxmlformats.org/officeDocument/2006/relationships" name="14_GUIで実行" sheetId="15" state="visible" r:id="rId15"/>
    <sheet xmlns:r="http://schemas.openxmlformats.org/officeDocument/2006/relationships" name="15_GUIの結果確認" sheetId="16" state="visible" r:id="rId16"/>
    <sheet xmlns:r="http://schemas.openxmlformats.org/officeDocument/2006/relationships" name="16_確認観点と注意" sheetId="17" state="visible" r:id="rId17"/>
    <sheet xmlns:r="http://schemas.openxmlformats.org/officeDocument/2006/relationships" name="17_JMXの保存と転送" sheetId="18" state="visible" r:id="rId18"/>
    <sheet xmlns:r="http://schemas.openxmlformats.org/officeDocument/2006/relationships" name="18_Linuxサーバ準備" sheetId="19" state="visible" r:id="rId19"/>
    <sheet xmlns:r="http://schemas.openxmlformats.org/officeDocument/2006/relationships" name="19_CLIの実行" sheetId="20" state="visible" r:id="rId20"/>
    <sheet xmlns:r="http://schemas.openxmlformats.org/officeDocument/2006/relationships" name="20_コンソール監視" sheetId="21" state="visible" r:id="rId21"/>
    <sheet xmlns:r="http://schemas.openxmlformats.org/officeDocument/2006/relationships" name="21_JTLとログ" sheetId="22" state="visible" r:id="rId22"/>
    <sheet xmlns:r="http://schemas.openxmlformats.org/officeDocument/2006/relationships" name="22_結果を端末へ" sheetId="23" state="visible" r:id="rId23"/>
    <sheet xmlns:r="http://schemas.openxmlformats.org/officeDocument/2006/relationships" name="23_Excelへ読込" sheetId="24" state="visible" r:id="rId24"/>
    <sheet xmlns:r="http://schemas.openxmlformats.org/officeDocument/2006/relationships" name="24_分析の手順" sheetId="25" state="visible" r:id="rId25"/>
    <sheet xmlns:r="http://schemas.openxmlformats.org/officeDocument/2006/relationships" name="25_判定と見込み" sheetId="26" state="visible" r:id="rId26"/>
    <sheet xmlns:r="http://schemas.openxmlformats.org/officeDocument/2006/relationships" name="26_レポートひな形" sheetId="27" state="visible" r:id="rId27"/>
    <sheet xmlns:r="http://schemas.openxmlformats.org/officeDocument/2006/relationships" name="27_計算例" sheetId="28" state="visible" r:id="rId28"/>
    <sheet xmlns:r="http://schemas.openxmlformats.org/officeDocument/2006/relationships" name="28_トラブル対処" sheetId="29" state="visible" r:id="rId29"/>
    <sheet xmlns:r="http://schemas.openxmlformats.org/officeDocument/2006/relationships" name="29_チェックリスト" sheetId="30" state="visible" r:id="rId30"/>
    <sheet xmlns:r="http://schemas.openxmlformats.org/officeDocument/2006/relationships" name="30_コマンド早見" sheetId="31" state="visible" r:id="rId31"/>
    <sheet xmlns:r="http://schemas.openxmlformats.org/officeDocument/2006/relationships" name="31_設定の写し" sheetId="32" state="visible" r:id="rId32"/>
    <sheet xmlns:r="http://schemas.openxmlformats.org/officeDocument/2006/relationships" name="32_画像台帳" sheetId="33" state="visible" r:id="rId33"/>
    <sheet xmlns:r="http://schemas.openxmlformats.org/officeDocument/2006/relationships" name="33_改定履歴" sheetId="34" state="visible" r:id="rId34"/>
    <sheet xmlns:r="http://schemas.openxmlformats.org/officeDocument/2006/relationships" name="34_認証の全体像" sheetId="35" state="visible" r:id="rId35"/>
    <sheet xmlns:r="http://schemas.openxmlformats.org/officeDocument/2006/relationships" name="35_Cognitoトークン" sheetId="36" state="visible" r:id="rId36"/>
    <sheet xmlns:r="http://schemas.openxmlformats.org/officeDocument/2006/relationships" name="36_BASE64ヘッダ" sheetId="37" state="visible" r:id="rId37"/>
    <sheet xmlns:r="http://schemas.openxmlformats.org/officeDocument/2006/relationships" name="37_トークンの保持" sheetId="38" state="visible" r:id="rId38"/>
    <sheet xmlns:r="http://schemas.openxmlformats.org/officeDocument/2006/relationships" name="38_正規表現抽出" sheetId="39" state="visible" r:id="rId39"/>
    <sheet xmlns:r="http://schemas.openxmlformats.org/officeDocument/2006/relationships" name="39_APIキーヘッダ" sheetId="40" state="visible" r:id="rId40"/>
  </sheets>
  <definedNames>
    <definedName name="_xlnm.Print_Titles" localSheetId="0">'00_表紙'!$1:$5</definedName>
    <definedName name="_xlnm.Print_Area" localSheetId="0">'00_表紙'!$A$1:$G$28</definedName>
    <definedName name="_xlnm.Print_Titles" localSheetId="1">'01_使い方'!$1:$5</definedName>
    <definedName name="_xlnm.Print_Area" localSheetId="1">'01_使い方'!$A$1:$G$65</definedName>
    <definedName name="_xlnm.Print_Titles" localSheetId="2">'02_全体の流れ'!$1:$5</definedName>
    <definedName name="_xlnm.Print_Area" localSheetId="2">'02_全体の流れ'!$A$1:$G$30</definedName>
    <definedName name="_xlnm._FilterDatabase" localSheetId="3" hidden="1">'03_用語'!$A$6:$G$29</definedName>
    <definedName name="_xlnm.Print_Titles" localSheetId="3">'03_用語'!$1:$5</definedName>
    <definedName name="_xlnm.Print_Area" localSheetId="3">'03_用語'!$A$1:$G$32</definedName>
    <definedName name="_xlnm.Print_Titles" localSheetId="4">'04_成果物と役割'!$1:$5</definedName>
    <definedName name="_xlnm.Print_Area" localSheetId="4">'04_成果物と役割'!$A$1:$G$15</definedName>
    <definedName name="_xlnm.Print_Titles" localSheetId="5">'05_Javaの準備'!$1:$5</definedName>
    <definedName name="_xlnm.Print_Area" localSheetId="5">'05_Javaの準備'!$A$1:$G$17</definedName>
    <definedName name="_xlnm.Print_Titles" localSheetId="6">'06_JMeterの取得'!$1:$5</definedName>
    <definedName name="_xlnm.Print_Area" localSheetId="6">'06_JMeterの取得'!$A$1:$G$16</definedName>
    <definedName name="_xlnm.Print_Titles" localSheetId="7">'07_Windowsへ導入'!$1:$5</definedName>
    <definedName name="_xlnm.Print_Area" localSheetId="7">'07_Windowsへ導入'!$A$1:$G$25</definedName>
    <definedName name="_xlnm.Print_Titles" localSheetId="8">'08_初期設定'!$1:$5</definedName>
    <definedName name="_xlnm.Print_Area" localSheetId="8">'08_初期設定'!$A$1:$G$27</definedName>
    <definedName name="_xlnm.Print_Titles" localSheetId="9">'09_画面の見方'!$1:$5</definedName>
    <definedName name="_xlnm.Print_Area" localSheetId="9">'09_画面の見方'!$A$1:$G$21</definedName>
    <definedName name="_xlnm.Print_Titles" localSheetId="10">'10_要素の追加'!$1:$5</definedName>
    <definedName name="_xlnm.Print_Area" localSheetId="10">'10_要素の追加'!$A$1:$G$31</definedName>
    <definedName name="_xlnm._FilterDatabase" localSheetId="11" hidden="1">'11_機能カタログ'!$A$7:$G$44</definedName>
    <definedName name="_xlnm.Print_Titles" localSheetId="11">'11_機能カタログ'!$1:$5</definedName>
    <definedName name="_xlnm.Print_Area" localSheetId="11">'11_機能カタログ'!$A$1:$G$56</definedName>
    <definedName name="_xlnm.Print_Titles" localSheetId="12">'12_シナリオ作成'!$1:$5</definedName>
    <definedName name="_xlnm.Print_Area" localSheetId="12">'12_シナリオ作成'!$A$1:$G$43</definedName>
    <definedName name="_xlnm.Print_Titles" localSheetId="13">'13_データと相関'!$1:$5</definedName>
    <definedName name="_xlnm.Print_Area" localSheetId="13">'13_データと相関'!$A$1:$G$24</definedName>
    <definedName name="_xlnm.Print_Titles" localSheetId="14">'14_GUIで実行'!$1:$5</definedName>
    <definedName name="_xlnm.Print_Area" localSheetId="14">'14_GUIで実行'!$A$1:$G$23</definedName>
    <definedName name="_xlnm.Print_Titles" localSheetId="15">'15_GUIの結果確認'!$1:$5</definedName>
    <definedName name="_xlnm.Print_Area" localSheetId="15">'15_GUIの結果確認'!$A$1:$G$26</definedName>
    <definedName name="_xlnm.Print_Titles" localSheetId="16">'16_確認観点と注意'!$1:$5</definedName>
    <definedName name="_xlnm.Print_Area" localSheetId="16">'16_確認観点と注意'!$A$1:$G$35</definedName>
    <definedName name="_xlnm.Print_Titles" localSheetId="17">'17_JMXの保存と転送'!$1:$5</definedName>
    <definedName name="_xlnm.Print_Area" localSheetId="17">'17_JMXの保存と転送'!$A$1:$G$20</definedName>
    <definedName name="_xlnm.Print_Titles" localSheetId="18">'18_Linuxサーバ準備'!$1:$5</definedName>
    <definedName name="_xlnm.Print_Area" localSheetId="18">'18_Linuxサーバ準備'!$A$1:$G$20</definedName>
    <definedName name="_xlnm.Print_Titles" localSheetId="19">'19_CLIの実行'!$1:$5</definedName>
    <definedName name="_xlnm.Print_Area" localSheetId="19">'19_CLIの実行'!$A$1:$G$34</definedName>
    <definedName name="_xlnm.Print_Titles" localSheetId="20">'20_コンソール監視'!$1:$5</definedName>
    <definedName name="_xlnm.Print_Area" localSheetId="20">'20_コンソール監視'!$A$1:$G$28</definedName>
    <definedName name="_xlnm.Print_Titles" localSheetId="21">'21_JTLとログ'!$1:$5</definedName>
    <definedName name="_xlnm.Print_Area" localSheetId="21">'21_JTLとログ'!$A$1:$G$36</definedName>
    <definedName name="_xlnm.Print_Titles" localSheetId="22">'22_結果を端末へ'!$1:$5</definedName>
    <definedName name="_xlnm.Print_Area" localSheetId="22">'22_結果を端末へ'!$A$1:$G$18</definedName>
    <definedName name="_xlnm.Print_Titles" localSheetId="23">'23_Excelへ読込'!$1:$5</definedName>
    <definedName name="_xlnm.Print_Area" localSheetId="23">'23_Excelへ読込'!$A$1:$G$30</definedName>
    <definedName name="_xlnm.Print_Titles" localSheetId="24">'24_分析の手順'!$1:$5</definedName>
    <definedName name="_xlnm.Print_Area" localSheetId="24">'24_分析の手順'!$A$1:$G$22</definedName>
    <definedName name="_xlnm.Print_Titles" localSheetId="25">'25_判定と見込み'!$1:$5</definedName>
    <definedName name="_xlnm.Print_Area" localSheetId="25">'25_判定と見込み'!$A$1:$G$22</definedName>
    <definedName name="_xlnm.Print_Titles" localSheetId="26">'26_レポートひな形'!$1:$5</definedName>
    <definedName name="_xlnm.Print_Area" localSheetId="26">'26_レポートひな形'!$A$1:$G$64</definedName>
    <definedName name="_xlnm.Print_Titles" localSheetId="27">'27_計算例'!$1:$5</definedName>
    <definedName name="_xlnm.Print_Area" localSheetId="27">'27_計算例'!$A$1:$L$42</definedName>
    <definedName name="_xlnm._FilterDatabase" localSheetId="28" hidden="1">'28_トラブル対処'!$A$6:$G$32</definedName>
    <definedName name="_xlnm.Print_Titles" localSheetId="28">'28_トラブル対処'!$1:$5</definedName>
    <definedName name="_xlnm.Print_Area" localSheetId="28">'28_トラブル対処'!$A$1:$G$32</definedName>
    <definedName name="_xlnm._FilterDatabase" localSheetId="29" hidden="1">'29_チェックリスト'!$A$6:$G$32</definedName>
    <definedName name="_xlnm.Print_Titles" localSheetId="29">'29_チェックリスト'!$1:$5</definedName>
    <definedName name="_xlnm.Print_Area" localSheetId="29">'29_チェックリスト'!$A$1:$G$32</definedName>
    <definedName name="_xlnm._FilterDatabase" localSheetId="30" hidden="1">'30_コマンド早見'!$A$6:$G$28</definedName>
    <definedName name="_xlnm.Print_Titles" localSheetId="30">'30_コマンド早見'!$1:$5</definedName>
    <definedName name="_xlnm.Print_Area" localSheetId="30">'30_コマンド早見'!$A$1:$G$28</definedName>
    <definedName name="_xlnm.Print_Titles" localSheetId="31">'31_設定の写し'!$1:$5</definedName>
    <definedName name="_xlnm.Print_Area" localSheetId="31">'31_設定の写し'!$A$1:$G$48</definedName>
    <definedName name="_xlnm._FilterDatabase" localSheetId="32" hidden="1">'32_画像台帳'!$A$6:$G$60</definedName>
    <definedName name="_xlnm.Print_Titles" localSheetId="32">'32_画像台帳'!$1:$5</definedName>
    <definedName name="_xlnm.Print_Area" localSheetId="32">'32_画像台帳'!$A$1:$G$60</definedName>
    <definedName name="_xlnm.Print_Titles" localSheetId="33">'33_改定履歴'!$1:$5</definedName>
    <definedName name="_xlnm.Print_Area" localSheetId="33">'33_改定履歴'!$A$1:$G$17</definedName>
    <definedName name="_xlnm.Print_Titles" localSheetId="34">'34_認証の全体像'!$1:$5</definedName>
    <definedName name="_xlnm.Print_Area" localSheetId="34">'34_認証の全体像'!$A$1:$G$49</definedName>
    <definedName name="_xlnm.Print_Titles" localSheetId="35">'35_Cognitoトークン'!$1:$5</definedName>
    <definedName name="_xlnm.Print_Area" localSheetId="35">'35_Cognitoトークン'!$A$1:$G$120</definedName>
    <definedName name="_xlnm.Print_Titles" localSheetId="36">'36_BASE64ヘッダ'!$1:$5</definedName>
    <definedName name="_xlnm.Print_Area" localSheetId="36">'36_BASE64ヘッダ'!$A$1:$G$36</definedName>
    <definedName name="_xlnm.Print_Titles" localSheetId="37">'37_トークンの保持'!$1:$5</definedName>
    <definedName name="_xlnm.Print_Area" localSheetId="37">'37_トークンの保持'!$A$1:$G$36</definedName>
    <definedName name="_xlnm.Print_Titles" localSheetId="38">'38_正規表現抽出'!$1:$5</definedName>
    <definedName name="_xlnm.Print_Area" localSheetId="38">'38_正規表現抽出'!$A$1:$G$54</definedName>
    <definedName name="_xlnm.Print_Titles" localSheetId="39">'39_APIキーヘッダ'!$1:$5</definedName>
    <definedName name="_xlnm.Print_Area" localSheetId="39">'39_APIキーヘッダ'!$A$1:$G$32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yyyy-mm-dd h:mm:ss"/>
    <numFmt numFmtId="166" formatCode="yyyy/mm/dd hh:mm:ss"/>
    <numFmt numFmtId="167" formatCode="0.000"/>
  </numFmts>
  <fonts count="21">
    <font>
      <name val="Meiryo UI"/>
      <charset val="128"/>
      <family val="2"/>
      <color theme="1"/>
      <sz val="10"/>
      <scheme val="minor"/>
    </font>
    <font>
      <name val="Meiryo UI"/>
      <color rgb="001A1A1A"/>
      <sz val="8"/>
    </font>
    <font>
      <name val="Meiryo UI"/>
      <color rgb="005C5C5C"/>
      <sz val="11"/>
    </font>
    <font>
      <name val="Meiryo UI"/>
      <b val="1"/>
      <color rgb="00FFFFFF"/>
      <sz val="20"/>
    </font>
    <font>
      <name val="Meiryo UI"/>
      <color rgb="003D3D3D"/>
      <sz val="11"/>
    </font>
    <font>
      <name val="Meiryo UI"/>
      <b val="1"/>
      <color rgb="00FFFFFF"/>
      <sz val="12"/>
    </font>
    <font>
      <name val="Meiryo UI"/>
      <b val="1"/>
      <color rgb="00FFFFFF"/>
      <sz val="9"/>
    </font>
    <font>
      <name val="Meiryo UI"/>
      <color rgb="001A1A1A"/>
      <sz val="9"/>
    </font>
    <font>
      <name val="Meiryo UI"/>
      <b val="1"/>
      <color rgb="001A1A1A"/>
      <sz val="10"/>
    </font>
    <font>
      <name val="Meiryo UI"/>
      <color rgb="001A1A1A"/>
      <sz val="10"/>
    </font>
    <font>
      <name val="Meiryo UI"/>
      <b val="1"/>
      <color rgb="003D3D3D"/>
      <sz val="10"/>
    </font>
    <font>
      <name val="Meiryo UI"/>
      <b val="1"/>
      <color rgb="00FFFFFF"/>
      <sz val="10"/>
    </font>
    <font>
      <name val="Meiryo UI"/>
      <color rgb="003D3D3D"/>
      <sz val="9"/>
    </font>
    <font>
      <name val="Meiryo UI"/>
      <color rgb="005C5C5C"/>
      <sz val="9"/>
    </font>
    <font>
      <name val="Meiryo UI"/>
      <b val="1"/>
      <color rgb="00FFFFFF"/>
      <sz val="16"/>
    </font>
    <font>
      <name val="Meiryo UI"/>
      <color rgb="005C5C5C"/>
      <sz val="8"/>
    </font>
    <font>
      <name val="Meiryo UI"/>
      <color rgb="003D3D3D"/>
      <sz val="10"/>
    </font>
    <font>
      <name val="Meiryo UI"/>
      <b val="1"/>
      <color rgb="001A1A1A"/>
      <sz val="9"/>
    </font>
    <font>
      <name val="Meiryo UI"/>
      <b val="1"/>
      <color rgb="003D3D3D"/>
      <sz val="9"/>
      <u val="single"/>
    </font>
    <font>
      <name val="Meiryo UI"/>
      <b val="1"/>
      <color rgb="00FFFFFF"/>
      <sz val="8"/>
    </font>
    <font>
      <name val="Meiryo UI"/>
      <b val="1"/>
      <color rgb="001A1A1A"/>
      <sz val="8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2B2B2B"/>
      </patternFill>
    </fill>
    <fill>
      <patternFill patternType="solid">
        <fgColor rgb="00F4F4F4"/>
      </patternFill>
    </fill>
    <fill>
      <patternFill patternType="solid">
        <fgColor rgb="00F7F7F7"/>
      </patternFill>
    </fill>
    <fill>
      <patternFill patternType="solid">
        <fgColor rgb="003D3D3D"/>
      </patternFill>
    </fill>
    <fill>
      <patternFill patternType="solid">
        <fgColor rgb="00E8E8E8"/>
      </patternFill>
    </fill>
  </fills>
  <borders count="4">
    <border>
      <left/>
      <right/>
      <top/>
      <bottom/>
      <diagonal/>
    </border>
    <border/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5C5C5C"/>
      </left>
      <right style="medium">
        <color rgb="005C5C5C"/>
      </right>
      <top style="medium">
        <color rgb="005C5C5C"/>
      </top>
      <bottom style="medium">
        <color rgb="005C5C5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10" fillId="7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  <xf numFmtId="10" fontId="8" fillId="4" borderId="2" applyAlignment="1" pivotButton="0" quotePrefix="0" xfId="0">
      <alignment horizontal="center" vertical="center" wrapText="1"/>
    </xf>
    <xf numFmtId="3" fontId="8" fillId="4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3" fontId="7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2" fontId="7" fillId="4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19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166" fontId="1" fillId="3" borderId="2" applyAlignment="1" pivotButton="0" quotePrefix="0" xfId="0">
      <alignment horizontal="center" vertical="center" wrapText="1"/>
    </xf>
    <xf numFmtId="3" fontId="1" fillId="3" borderId="2" applyAlignment="1" pivotButton="0" quotePrefix="0" xfId="0">
      <alignment horizontal="right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right" vertical="center" wrapText="1"/>
    </xf>
    <xf numFmtId="166" fontId="1" fillId="6" borderId="2" applyAlignment="1" pivotButton="0" quotePrefix="0" xfId="0">
      <alignment horizontal="center" vertical="center" wrapText="1"/>
    </xf>
    <xf numFmtId="3" fontId="1" fillId="6" borderId="2" applyAlignment="1" pivotButton="0" quotePrefix="0" xfId="0">
      <alignment horizontal="right" vertical="center" wrapText="1"/>
    </xf>
    <xf numFmtId="0" fontId="1" fillId="6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right" vertical="center" wrapText="1"/>
    </xf>
    <xf numFmtId="0" fontId="19" fillId="5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10" fontId="1" fillId="3" borderId="2" applyAlignment="1" pivotButton="0" quotePrefix="0" xfId="0">
      <alignment horizontal="right" vertical="center" wrapText="1"/>
    </xf>
    <xf numFmtId="164" fontId="1" fillId="3" borderId="2" applyAlignment="1" pivotButton="0" quotePrefix="0" xfId="0">
      <alignment horizontal="right" vertical="center" wrapText="1"/>
    </xf>
    <xf numFmtId="167" fontId="1" fillId="3" borderId="2" applyAlignment="1" pivotButton="0" quotePrefix="0" xfId="0">
      <alignment horizontal="right" vertical="center" wrapText="1"/>
    </xf>
    <xf numFmtId="0" fontId="17" fillId="3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G28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22" customWidth="1" min="1" max="1"/>
    <col width="28" customWidth="1" min="2" max="2"/>
    <col width="36" customWidth="1" min="3" max="3"/>
    <col width="36" customWidth="1" min="4" max="4"/>
    <col width="28" customWidth="1" min="5" max="5"/>
    <col width="24" customWidth="1" min="6" max="6"/>
    <col width="18" customWidth="1" min="7" max="7"/>
  </cols>
  <sheetData>
    <row r="1" ht="10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2" t="inlineStr">
        <is>
          <t>現場手順書</t>
        </is>
      </c>
      <c r="B2" s="2" t="n"/>
      <c r="C2" s="2" t="n"/>
      <c r="D2" s="2" t="n"/>
      <c r="E2" s="2" t="n"/>
      <c r="F2" s="2" t="n"/>
      <c r="G2" s="2" t="n"/>
    </row>
    <row r="3" ht="36" customHeight="1">
      <c r="A3" s="3" t="inlineStr">
        <is>
          <t>Apache JMeter  取得から報告まで</t>
        </is>
      </c>
      <c r="B3" s="3" t="n"/>
      <c r="C3" s="3" t="n"/>
      <c r="D3" s="3" t="n"/>
      <c r="E3" s="3" t="n"/>
      <c r="F3" s="3" t="n"/>
      <c r="G3" s="3" t="n"/>
    </row>
    <row r="4" ht="32" customHeight="1">
      <c r="A4" s="4" t="inlineStr">
        <is>
          <t>Windows 11 の画面でシナリオ（jmx）を作り、Linux サーバで CLI 実行し、jtl とログを端末へ戻して Excel で結果と見込みを報告する。</t>
        </is>
      </c>
      <c r="B4" s="4" t="n"/>
      <c r="C4" s="4" t="n"/>
      <c r="D4" s="4" t="n"/>
      <c r="E4" s="4" t="n"/>
      <c r="F4" s="4" t="n"/>
      <c r="G4" s="4" t="n"/>
    </row>
    <row r="6" ht="24" customHeight="1">
      <c r="A6" s="5" t="inlineStr">
        <is>
          <t>この一冊でたどる仕事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順</t>
        </is>
      </c>
      <c r="B7" s="6" t="inlineStr">
        <is>
          <t>段階</t>
        </is>
      </c>
      <c r="C7" s="6" t="inlineStr">
        <is>
          <t>やること</t>
        </is>
      </c>
      <c r="D7" s="6" t="inlineStr">
        <is>
          <t>シート</t>
        </is>
      </c>
      <c r="E7" s="6" t="inlineStr">
        <is>
          <t>この段階のゴール</t>
        </is>
      </c>
      <c r="F7" s="6" t="inlineStr">
        <is>
          <t>守ること</t>
        </is>
      </c>
      <c r="G7" s="6" t="inlineStr">
        <is>
          <t>画像</t>
        </is>
      </c>
    </row>
    <row r="8" ht="44" customHeight="1">
      <c r="A8" s="7" t="inlineStr">
        <is>
          <t>1</t>
        </is>
      </c>
      <c r="B8" s="7" t="inlineStr">
        <is>
          <t>端末で準備</t>
        </is>
      </c>
      <c r="C8" s="7" t="inlineStr">
        <is>
          <t>Java 17 を入れ、JMeter 5.6.3 のバイナリを公式サイトから取り、展開する。</t>
        </is>
      </c>
      <c r="D8" s="7" t="inlineStr">
        <is>
          <t>05 → 08</t>
        </is>
      </c>
      <c r="E8" s="7" t="inlineStr">
        <is>
          <t>インストーラは無い。zip を展開するだけ。</t>
        </is>
      </c>
      <c r="F8" s="7" t="inlineStr">
        <is>
          <t>日本語パスと空白のあるフォルダは使わない。</t>
        </is>
      </c>
      <c r="G8" s="7" t="inlineStr"/>
    </row>
    <row r="9" ht="44" customHeight="1">
      <c r="A9" s="8" t="inlineStr">
        <is>
          <t>2</t>
        </is>
      </c>
      <c r="B9" s="8" t="inlineStr">
        <is>
          <t>画面でシナリオ</t>
        </is>
      </c>
      <c r="C9" s="8" t="inlineStr">
        <is>
          <t>スレッドグループと HTTP リクエストを組み立て、1 ユーザで成功を確認して jmx を保存する。</t>
        </is>
      </c>
      <c r="D9" s="8" t="inlineStr">
        <is>
          <t>09 → 16</t>
        </is>
      </c>
      <c r="E9" s="8" t="inlineStr">
        <is>
          <t>負荷はこの段階ではかけない。</t>
        </is>
      </c>
      <c r="F9" s="8" t="inlineStr">
        <is>
          <t>リスナーを有効なままサーバへ渡さない。</t>
        </is>
      </c>
      <c r="G9" s="8" t="inlineStr"/>
    </row>
    <row r="10" ht="44" customHeight="1">
      <c r="A10" s="7" t="inlineStr">
        <is>
          <t>3</t>
        </is>
      </c>
      <c r="B10" s="7" t="inlineStr">
        <is>
          <t>サーバで実行</t>
        </is>
      </c>
      <c r="C10" s="7" t="inlineStr">
        <is>
          <t>jmx と CSV を Linux へ置き、jmeter -n で実行し、コンソールの summary を見る。</t>
        </is>
      </c>
      <c r="D10" s="7" t="inlineStr">
        <is>
          <t>17 → 21</t>
        </is>
      </c>
      <c r="E10" s="7" t="inlineStr">
        <is>
          <t>GUI はサーバで開かない。</t>
        </is>
      </c>
      <c r="F10" s="7" t="inlineStr">
        <is>
          <t>同じ jtl へ追記しない。実行ごとに新フォルダ。</t>
        </is>
      </c>
      <c r="G10" s="7" t="inlineStr"/>
    </row>
    <row r="11" ht="44" customHeight="1">
      <c r="A11" s="8" t="inlineStr">
        <is>
          <t>4</t>
        </is>
      </c>
      <c r="B11" s="8" t="inlineStr">
        <is>
          <t>Excel で報告</t>
        </is>
      </c>
      <c r="C11" s="8" t="inlineStr">
        <is>
          <t>statistics.json とエラー行を読み、ひな形へ転記し、合格と見込みを文章で残す。</t>
        </is>
      </c>
      <c r="D11" s="8" t="inlineStr">
        <is>
          <t>22 → 27</t>
        </is>
      </c>
      <c r="E11" s="8" t="inlineStr">
        <is>
          <t>終了コード 0 だけでは合格にしない。</t>
        </is>
      </c>
      <c r="F11" s="8" t="inlineStr">
        <is>
          <t>ダッシュボードの数値と手計算の定義を混ぜない。</t>
        </is>
      </c>
      <c r="G11" s="8" t="inlineStr"/>
    </row>
    <row r="13" ht="24" customHeight="1">
      <c r="A13" s="5" t="inlineStr">
        <is>
          <t>文書の置き方</t>
        </is>
      </c>
      <c r="B13" s="5" t="n"/>
      <c r="C13" s="5" t="n"/>
      <c r="D13" s="5" t="n"/>
      <c r="E13" s="5" t="n"/>
      <c r="F13" s="5" t="n"/>
      <c r="G13" s="5" t="n"/>
    </row>
    <row r="14" ht="28" customHeight="1">
      <c r="A14" s="6" t="inlineStr">
        <is>
          <t>項目</t>
        </is>
      </c>
      <c r="B14" s="6" t="inlineStr">
        <is>
          <t>内容</t>
        </is>
      </c>
      <c r="C14" s="6" t="inlineStr"/>
      <c r="D14" s="6" t="inlineStr"/>
      <c r="E14" s="6" t="inlineStr"/>
      <c r="F14" s="6" t="inlineStr"/>
      <c r="G14" s="6" t="inlineStr"/>
    </row>
    <row r="15" ht="24" customHeight="1">
      <c r="A15" s="9" t="inlineStr">
        <is>
          <t>対象製品</t>
        </is>
      </c>
      <c r="B15" s="10" t="inlineStr">
        <is>
          <t>Apache JMeter 5.6.3（2026-10-04 時点の安定版配布）</t>
        </is>
      </c>
      <c r="C15" s="10" t="n"/>
      <c r="D15" s="10" t="n"/>
      <c r="E15" s="10" t="n"/>
      <c r="F15" s="10" t="n"/>
      <c r="G15" s="10" t="n"/>
    </row>
    <row r="16" ht="24" customHeight="1">
      <c r="A16" s="11" t="inlineStr">
        <is>
          <t>実行する Java</t>
        </is>
      </c>
      <c r="B16" s="12" t="inlineStr">
        <is>
          <t>Java 17（LTS）を推奨。5.6.3 の配布ページは Java 8 以上。次のメジャーは Java 17 以上が必須になる、と Changes にある。</t>
        </is>
      </c>
      <c r="C16" s="12" t="n"/>
      <c r="D16" s="12" t="n"/>
      <c r="E16" s="12" t="n"/>
      <c r="F16" s="12" t="n"/>
      <c r="G16" s="12" t="n"/>
    </row>
    <row r="17" ht="24" customHeight="1">
      <c r="A17" s="9" t="inlineStr">
        <is>
          <t>作る場所</t>
        </is>
      </c>
      <c r="B17" s="10" t="inlineStr">
        <is>
          <t>Windows 11 の端末。GUI はシナリオ作成と 1 ユーザの確認だけ。</t>
        </is>
      </c>
      <c r="C17" s="10" t="n"/>
      <c r="D17" s="10" t="n"/>
      <c r="E17" s="10" t="n"/>
      <c r="F17" s="10" t="n"/>
      <c r="G17" s="10" t="n"/>
    </row>
    <row r="18" ht="24" customHeight="1">
      <c r="A18" s="11" t="inlineStr">
        <is>
          <t>流す場所</t>
        </is>
      </c>
      <c r="B18" s="12" t="inlineStr">
        <is>
          <t>Linux の JMeter 実行サーバ。コマンドは CLI（非 GUI）。</t>
        </is>
      </c>
      <c r="C18" s="12" t="n"/>
      <c r="D18" s="12" t="n"/>
      <c r="E18" s="12" t="n"/>
      <c r="F18" s="12" t="n"/>
      <c r="G18" s="12" t="n"/>
    </row>
    <row r="19" ht="24" customHeight="1">
      <c r="A19" s="9" t="inlineStr">
        <is>
          <t>報告</t>
        </is>
      </c>
      <c r="B19" s="10" t="inlineStr">
        <is>
          <t>端末の Excel。フォント Meiryo UI。色はモノトーン。26_レポートひな形 を提出用に記入する。</t>
        </is>
      </c>
      <c r="C19" s="10" t="n"/>
      <c r="D19" s="10" t="n"/>
      <c r="E19" s="10" t="n"/>
      <c r="F19" s="10" t="n"/>
      <c r="G19" s="10" t="n"/>
    </row>
    <row r="20" ht="24" customHeight="1">
      <c r="A20" s="11" t="inlineStr">
        <is>
          <t>認証の例</t>
        </is>
      </c>
      <c r="B20" s="12" t="inlineStr">
        <is>
          <t>Cognito の /oauth2/token でクライアント認証し、API Gateway へはヘッダで API キーを渡す。34 から 39。12 の /api/login は画面操作の最小例。</t>
        </is>
      </c>
      <c r="C20" s="12" t="n"/>
      <c r="D20" s="12" t="n"/>
      <c r="E20" s="12" t="n"/>
      <c r="F20" s="12" t="n"/>
      <c r="G20" s="12" t="n"/>
    </row>
    <row r="21" ht="24" customHeight="1">
      <c r="A21" s="9" t="inlineStr">
        <is>
          <t>例示のパス</t>
        </is>
      </c>
      <c r="B21" s="10" t="inlineStr">
        <is>
          <t>C:\Tools\apache-jmeter-5.6.3 と /opt/jmeter/apache-jmeter-5.6.3 。ホスト名は example なので現場の名前に置き換える。</t>
        </is>
      </c>
      <c r="C21" s="10" t="n"/>
      <c r="D21" s="10" t="n"/>
      <c r="E21" s="10" t="n"/>
      <c r="F21" s="10" t="n"/>
      <c r="G21" s="10" t="n"/>
    </row>
    <row r="22" ht="24" customHeight="1">
      <c r="A22" s="11" t="inlineStr">
        <is>
          <t>許可</t>
        </is>
      </c>
      <c r="B22" s="12" t="inlineStr">
        <is>
          <t>負荷をかける相手は、試験してよいと合意した環境だけにする。本番への向き先を、この手順の例のまま使わない。</t>
        </is>
      </c>
      <c r="C22" s="12" t="n"/>
      <c r="D22" s="12" t="n"/>
      <c r="E22" s="12" t="n"/>
      <c r="F22" s="12" t="n"/>
      <c r="G22" s="12" t="n"/>
    </row>
    <row r="23" ht="24" customHeight="1">
      <c r="A23" s="9" t="inlineStr">
        <is>
          <t>印刷</t>
        </is>
      </c>
      <c r="B23" s="10" t="inlineStr">
        <is>
          <t>A3 横、幅を 1 ページに収める設定済み。A4 しか無いときは用紙だけ A4 に変えると縮小される。</t>
        </is>
      </c>
      <c r="C23" s="10" t="n"/>
      <c r="D23" s="10" t="n"/>
      <c r="E23" s="10" t="n"/>
      <c r="F23" s="10" t="n"/>
      <c r="G23" s="10" t="n"/>
    </row>
    <row r="25" ht="24" customHeight="1">
      <c r="A25" s="5" t="inlineStr">
        <is>
          <t>最初に開くシート</t>
        </is>
      </c>
      <c r="B25" s="5" t="n"/>
      <c r="C25" s="5" t="n"/>
      <c r="D25" s="5" t="n"/>
      <c r="E25" s="5" t="n"/>
      <c r="F25" s="5" t="n"/>
      <c r="G25" s="5" t="n"/>
    </row>
    <row r="26" ht="28" customHeight="1">
      <c r="A26" s="13" t="inlineStr">
        <is>
          <t>次のシート 01_使い方 を開く。全体を一度読んでから、05 の Java 準備へ進む。途中のシートだけを開いてコマンドを打たない。</t>
        </is>
      </c>
      <c r="B26" s="13" t="n"/>
      <c r="C26" s="13" t="n"/>
      <c r="D26" s="13" t="n"/>
      <c r="E26" s="13" t="n"/>
      <c r="F26" s="13" t="n"/>
      <c r="G26" s="13" t="n"/>
    </row>
    <row r="27" ht="22" customHeight="1">
      <c r="A27" s="14" t="inlineStr">
        <is>
          <t>IMG-01    画像差し込み枠    端末、実行サーバ、試験対象の三者の配置図</t>
        </is>
      </c>
      <c r="B27" s="14" t="n"/>
      <c r="C27" s="14" t="n"/>
      <c r="D27" s="14" t="n"/>
      <c r="E27" s="14" t="n"/>
      <c r="F27" s="14" t="n"/>
      <c r="G27" s="14" t="n"/>
    </row>
    <row r="28" ht="148" customHeight="1">
      <c r="A28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手順書を自分の現場に合わせたあとに撮る。無ければ手書きの構成を写真でもよい。
画角: 左に Windows 11 端末、中央に Linux の JMeter 実行サーバ、右に試験対象。矢印は jmx を送る方向と、jtl を戻す方向の 2 本。
文章は図の下に隠れてもよい。どの図かは 32_画像台帳 の IMG-01 を見る。</t>
        </is>
      </c>
      <c r="B28" s="15" t="n"/>
      <c r="C28" s="15" t="n"/>
      <c r="D28" s="15" t="n"/>
      <c r="E28" s="15" t="n"/>
      <c r="F28" s="15" t="n"/>
      <c r="G28" s="15" t="n"/>
    </row>
  </sheetData>
  <mergeCells count="19">
    <mergeCell ref="B17:G17"/>
    <mergeCell ref="B23:G23"/>
    <mergeCell ref="A4:G4"/>
    <mergeCell ref="A28:G28"/>
    <mergeCell ref="A13:G13"/>
    <mergeCell ref="B19:G19"/>
    <mergeCell ref="B15:G15"/>
    <mergeCell ref="B20:G20"/>
    <mergeCell ref="A1:G1"/>
    <mergeCell ref="A6:G6"/>
    <mergeCell ref="A25:G25"/>
    <mergeCell ref="B16:G16"/>
    <mergeCell ref="B22:G22"/>
    <mergeCell ref="A27:G27"/>
    <mergeCell ref="A3:G3"/>
    <mergeCell ref="A26:G26"/>
    <mergeCell ref="A2:G2"/>
    <mergeCell ref="B18:G18"/>
    <mergeCell ref="B21:G21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G65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最初に読む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この手順書の使い方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JMeter を初めて開く人が、どのシートをどの順で読むかを固定する。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30 分で到達する最初のゴール</t>
        </is>
      </c>
      <c r="B6" s="5" t="n"/>
      <c r="C6" s="5" t="n"/>
      <c r="D6" s="5" t="n"/>
      <c r="E6" s="5" t="n"/>
      <c r="F6" s="5" t="n"/>
      <c r="G6" s="5" t="n"/>
    </row>
    <row r="7" ht="35" customHeight="1">
      <c r="A7" s="20" t="inlineStr">
        <is>
          <t>最初の日のゴールは「自分の端末で JMeter が開き、HTTP リクエストを 1 件、スレッド 1、ループ 1 で成功させ、jmx を保存できる」こと。人数を増やした負荷、サーバへの転送、Excel の報告はその次の日でよい。負荷は GUI からはかけない。</t>
        </is>
      </c>
      <c r="B7" s="20" t="n"/>
      <c r="C7" s="20" t="n"/>
      <c r="D7" s="20" t="n"/>
      <c r="E7" s="20" t="n"/>
      <c r="F7" s="20" t="n"/>
      <c r="G7" s="20" t="n"/>
    </row>
    <row r="8" ht="28" customHeight="1">
      <c r="A8" s="6" t="inlineStr">
        <is>
          <t>手順</t>
        </is>
      </c>
      <c r="B8" s="6" t="inlineStr">
        <is>
          <t>どこで</t>
        </is>
      </c>
      <c r="C8" s="6" t="inlineStr">
        <is>
          <t>操作</t>
        </is>
      </c>
      <c r="D8" s="6" t="inlineStr">
        <is>
          <t>入力する値</t>
        </is>
      </c>
      <c r="E8" s="6" t="inlineStr">
        <is>
          <t>うまくいったときの見え方</t>
        </is>
      </c>
      <c r="F8" s="6" t="inlineStr">
        <is>
          <t>つまずきやすい点</t>
        </is>
      </c>
      <c r="G8" s="6" t="inlineStr">
        <is>
          <t>画像</t>
        </is>
      </c>
    </row>
    <row r="9" ht="32" customHeight="1">
      <c r="A9" s="7" t="inlineStr">
        <is>
          <t>1</t>
        </is>
      </c>
      <c r="B9" s="7" t="inlineStr">
        <is>
          <t>このシート</t>
        </is>
      </c>
      <c r="C9" s="7" t="inlineStr">
        <is>
          <t>下の読み順表で、今日やる範囲に印を付ける。</t>
        </is>
      </c>
      <c r="D9" s="7" t="inlineStr">
        <is>
          <t>初日は 05 から 14 まで。</t>
        </is>
      </c>
      <c r="E9" s="7" t="inlineStr">
        <is>
          <t>自分の担当範囲が言える。</t>
        </is>
      </c>
      <c r="F9" s="7" t="inlineStr">
        <is>
          <t>全部を初日にやろうとしない。</t>
        </is>
      </c>
      <c r="G9" s="7" t="inlineStr"/>
    </row>
    <row r="10" ht="32" customHeight="1">
      <c r="A10" s="8" t="inlineStr">
        <is>
          <t>2</t>
        </is>
      </c>
      <c r="B10" s="8" t="inlineStr">
        <is>
          <t>05 から 08</t>
        </is>
      </c>
      <c r="C10" s="8" t="inlineStr">
        <is>
          <t>Java と JMeter を入れ、日本語表示とヒープを設定する。</t>
        </is>
      </c>
      <c r="D10" s="8" t="inlineStr">
        <is>
          <t>setenv.bat と user.properties。全文は 31。</t>
        </is>
      </c>
      <c r="E10" s="8" t="inlineStr">
        <is>
          <t>jmeter.bat で窓が開く。</t>
        </is>
      </c>
      <c r="F10" s="8" t="inlineStr">
        <is>
          <t>Program Files に置かない。</t>
        </is>
      </c>
      <c r="G10" s="8" t="inlineStr">
        <is>
          <t>IMG-02 以降</t>
        </is>
      </c>
    </row>
    <row r="11" ht="32" customHeight="1">
      <c r="A11" s="7" t="inlineStr">
        <is>
          <t>3</t>
        </is>
      </c>
      <c r="B11" s="7" t="inlineStr">
        <is>
          <t>09 から 13</t>
        </is>
      </c>
      <c r="C11" s="7" t="inlineStr">
        <is>
          <t>画面の名前を覚え、要素の追加場所をカタログで確認し、シナリオを組む。</t>
        </is>
      </c>
      <c r="D11" s="7" t="inlineStr">
        <is>
          <t>スレッド数は ${__P(threads,1)} 。</t>
        </is>
      </c>
      <c r="E11" s="7" t="inlineStr">
        <is>
          <t>ツリーが 12 の完成例に似ている。</t>
        </is>
      </c>
      <c r="F11" s="7" t="inlineStr">
        <is>
          <t>英語のままの項目があっても故障ではない。</t>
        </is>
      </c>
      <c r="G11" s="7" t="inlineStr"/>
    </row>
    <row r="12" ht="32" customHeight="1">
      <c r="A12" s="8" t="inlineStr">
        <is>
          <t>4</t>
        </is>
      </c>
      <c r="B12" s="8" t="inlineStr">
        <is>
          <t>14 から 16</t>
        </is>
      </c>
      <c r="C12" s="8" t="inlineStr">
        <is>
          <t>1 ユーザで実行し、結果ツリーで成功を見る。確認観点を通す。</t>
        </is>
      </c>
      <c r="D12" s="8" t="inlineStr">
        <is>
          <t>失敗したら人数を増やす前に直す。</t>
        </is>
      </c>
      <c r="E12" s="8" t="inlineStr">
        <is>
          <t>緑のチェックと応答コード 200。</t>
        </is>
      </c>
      <c r="F12" s="8" t="inlineStr">
        <is>
          <t>結果ツリーを有効なまま保存して負荷に使わない。</t>
        </is>
      </c>
      <c r="G12" s="8" t="inlineStr"/>
    </row>
    <row r="13" ht="44" customHeight="1">
      <c r="A13" s="7" t="inlineStr">
        <is>
          <t>5</t>
        </is>
      </c>
      <c r="B13" s="7" t="inlineStr">
        <is>
          <t>17 から 21</t>
        </is>
      </c>
      <c r="C13" s="7" t="inlineStr">
        <is>
          <t>jmx と CSV を Linux へ送り、run.sh で CLI 実行し、summary を監視する。</t>
        </is>
      </c>
      <c r="D13" s="7" t="inlineStr">
        <is>
          <t>スレッドは 1、次に少数、最後に目標。</t>
        </is>
      </c>
      <c r="E13" s="7" t="inlineStr">
        <is>
          <t>最終行の summary = を控える。</t>
        </is>
      </c>
      <c r="F13" s="7" t="inlineStr">
        <is>
          <t>SSH が切れても試験が死なないよう tmux を使う。</t>
        </is>
      </c>
      <c r="G13" s="7" t="inlineStr"/>
    </row>
    <row r="14" ht="32" customHeight="1">
      <c r="A14" s="8" t="inlineStr">
        <is>
          <t>6</t>
        </is>
      </c>
      <c r="B14" s="8" t="inlineStr">
        <is>
          <t>22 から 27</t>
        </is>
      </c>
      <c r="C14" s="8" t="inlineStr">
        <is>
          <t>結果一式を端末へ戻し、Excel へ読み、ひな形を記入する。</t>
        </is>
      </c>
      <c r="D14" s="8" t="inlineStr">
        <is>
          <t>数値の出典を statistics.json に揃える。</t>
        </is>
      </c>
      <c r="E14" s="8" t="inlineStr">
        <is>
          <t>総合判定と見込みの文章がある。</t>
        </is>
      </c>
      <c r="F14" s="8" t="inlineStr">
        <is>
          <t>エラーが 0 件でも応答時間が基準超過なら不合格。</t>
        </is>
      </c>
      <c r="G14" s="8" t="inlineStr"/>
    </row>
    <row r="16" ht="24" customHeight="1">
      <c r="A16" s="5" t="inlineStr">
        <is>
          <t>シートの読み順</t>
        </is>
      </c>
      <c r="B16" s="5" t="n"/>
      <c r="C16" s="5" t="n"/>
      <c r="D16" s="5" t="n"/>
      <c r="E16" s="5" t="n"/>
      <c r="F16" s="5" t="n"/>
      <c r="G16" s="5" t="n"/>
    </row>
    <row r="17" ht="28" customHeight="1">
      <c r="A17" s="6" t="inlineStr">
        <is>
          <t>シート</t>
        </is>
      </c>
      <c r="B17" s="6" t="inlineStr">
        <is>
          <t>役割</t>
        </is>
      </c>
      <c r="C17" s="6" t="inlineStr">
        <is>
          <t>いつ開く</t>
        </is>
      </c>
      <c r="D17" s="6" t="inlineStr"/>
      <c r="E17" s="6" t="inlineStr"/>
      <c r="F17" s="6" t="inlineStr"/>
      <c r="G17" s="6" t="inlineStr"/>
    </row>
    <row r="18" ht="20" customHeight="1">
      <c r="A18" s="21">
        <f>HYPERLINK("#'00_表紙'!A1","00_表紙")</f>
        <v/>
      </c>
      <c r="B18" s="22" t="inlineStr">
        <is>
          <t>何の文書か</t>
        </is>
      </c>
      <c r="C18" s="22" t="n"/>
      <c r="D18" s="22" t="n"/>
      <c r="E18" s="22" t="inlineStr">
        <is>
          <t>最初の 1 分</t>
        </is>
      </c>
      <c r="F18" s="22" t="n"/>
      <c r="G18" s="22" t="n"/>
    </row>
    <row r="19" ht="20" customHeight="1">
      <c r="A19" s="23">
        <f>HYPERLINK("#'01_使い方'!A1","01_使い方")</f>
        <v/>
      </c>
      <c r="B19" s="24" t="inlineStr">
        <is>
          <t>読む順</t>
        </is>
      </c>
      <c r="C19" s="24" t="n"/>
      <c r="D19" s="24" t="n"/>
      <c r="E19" s="24" t="inlineStr">
        <is>
          <t>最初の 5 分</t>
        </is>
      </c>
      <c r="F19" s="24" t="n"/>
      <c r="G19" s="24" t="n"/>
    </row>
    <row r="20" ht="20" customHeight="1">
      <c r="A20" s="21">
        <f>HYPERLINK("#'02_全体の流れ'!A1","02_全体の流れ")</f>
        <v/>
      </c>
      <c r="B20" s="22" t="inlineStr">
        <is>
          <t>ファイルがどこを通るか</t>
        </is>
      </c>
      <c r="C20" s="22" t="n"/>
      <c r="D20" s="22" t="n"/>
      <c r="E20" s="22" t="inlineStr">
        <is>
          <t>作業前</t>
        </is>
      </c>
      <c r="F20" s="22" t="n"/>
      <c r="G20" s="22" t="n"/>
    </row>
    <row r="21" ht="20" customHeight="1">
      <c r="A21" s="23">
        <f>HYPERLINK("#'03_用語'!A1","03_用語")</f>
        <v/>
      </c>
      <c r="B21" s="24" t="inlineStr">
        <is>
          <t>jmx、jtl、スレッド、ランプアップ</t>
        </is>
      </c>
      <c r="C21" s="24" t="n"/>
      <c r="D21" s="24" t="n"/>
      <c r="E21" s="24" t="inlineStr">
        <is>
          <t>分からない言葉が出たとき</t>
        </is>
      </c>
      <c r="F21" s="24" t="n"/>
      <c r="G21" s="24" t="n"/>
    </row>
    <row r="22" ht="20" customHeight="1">
      <c r="A22" s="21">
        <f>HYPERLINK("#'04_成果物と役割'!A1","04_成果物と役割")</f>
        <v/>
      </c>
      <c r="B22" s="22" t="inlineStr">
        <is>
          <t>誰が何を残すか</t>
        </is>
      </c>
      <c r="C22" s="22" t="n"/>
      <c r="D22" s="22" t="n"/>
      <c r="E22" s="22" t="inlineStr">
        <is>
          <t>分担があるとき</t>
        </is>
      </c>
      <c r="F22" s="22" t="n"/>
      <c r="G22" s="22" t="n"/>
    </row>
    <row r="23" ht="20" customHeight="1">
      <c r="A23" s="23">
        <f>HYPERLINK("#'05_Javaの準備'!A1","05_Javaの準備")</f>
        <v/>
      </c>
      <c r="B23" s="24" t="inlineStr">
        <is>
          <t>Java 17 と JAVA_HOME</t>
        </is>
      </c>
      <c r="C23" s="24" t="n"/>
      <c r="D23" s="24" t="n"/>
      <c r="E23" s="24" t="inlineStr">
        <is>
          <t>初日</t>
        </is>
      </c>
      <c r="F23" s="24" t="n"/>
      <c r="G23" s="24" t="n"/>
    </row>
    <row r="24" ht="20" customHeight="1">
      <c r="A24" s="21">
        <f>HYPERLINK("#'06_JMeterの取得'!A1","06_JMeterの取得")</f>
        <v/>
      </c>
      <c r="B24" s="22" t="inlineStr">
        <is>
          <t>公式サイト、zip、ハッシュ</t>
        </is>
      </c>
      <c r="C24" s="22" t="n"/>
      <c r="D24" s="22" t="n"/>
      <c r="E24" s="22" t="inlineStr">
        <is>
          <t>初日</t>
        </is>
      </c>
      <c r="F24" s="22" t="n"/>
      <c r="G24" s="22" t="n"/>
    </row>
    <row r="25" ht="20" customHeight="1">
      <c r="A25" s="23">
        <f>HYPERLINK("#'07_Windowsへ導入'!A1","07_Windowsへ導入")</f>
        <v/>
      </c>
      <c r="B25" s="24" t="inlineStr">
        <is>
          <t>展開場所、起動</t>
        </is>
      </c>
      <c r="C25" s="24" t="n"/>
      <c r="D25" s="24" t="n"/>
      <c r="E25" s="24" t="inlineStr">
        <is>
          <t>初日</t>
        </is>
      </c>
      <c r="F25" s="24" t="n"/>
      <c r="G25" s="24" t="n"/>
    </row>
    <row r="26" ht="20" customHeight="1">
      <c r="A26" s="21">
        <f>HYPERLINK("#'08_初期設定'!A1","08_初期設定")</f>
        <v/>
      </c>
      <c r="B26" s="22" t="inlineStr">
        <is>
          <t>setenv.bat、user.properties</t>
        </is>
      </c>
      <c r="C26" s="22" t="n"/>
      <c r="D26" s="22" t="n"/>
      <c r="E26" s="22" t="inlineStr">
        <is>
          <t>初日</t>
        </is>
      </c>
      <c r="F26" s="22" t="n"/>
      <c r="G26" s="22" t="n"/>
    </row>
    <row r="27" ht="20" customHeight="1">
      <c r="A27" s="23">
        <f>HYPERLINK("#'09_画面の見方'!A1","09_画面の見方")</f>
        <v/>
      </c>
      <c r="B27" s="24" t="inlineStr">
        <is>
          <t>メニューとツリー</t>
        </is>
      </c>
      <c r="C27" s="24" t="n"/>
      <c r="D27" s="24" t="n"/>
      <c r="E27" s="24" t="inlineStr">
        <is>
          <t>初日</t>
        </is>
      </c>
      <c r="F27" s="24" t="n"/>
      <c r="G27" s="24" t="n"/>
    </row>
    <row r="28" ht="20" customHeight="1">
      <c r="A28" s="21">
        <f>HYPERLINK("#'10_要素の追加'!A1","10_要素の追加")</f>
        <v/>
      </c>
      <c r="B28" s="22" t="inlineStr">
        <is>
          <t>右クリックの追加</t>
        </is>
      </c>
      <c r="C28" s="22" t="n"/>
      <c r="D28" s="22" t="n"/>
      <c r="E28" s="22" t="inlineStr">
        <is>
          <t>シナリオを作る直前</t>
        </is>
      </c>
      <c r="F28" s="22" t="n"/>
      <c r="G28" s="22" t="n"/>
    </row>
    <row r="29" ht="20" customHeight="1">
      <c r="A29" s="23">
        <f>HYPERLINK("#'11_機能カタログ'!A1","11_機能カタログ")</f>
        <v/>
      </c>
      <c r="B29" s="24" t="inlineStr">
        <is>
          <t>機能一覧と負荷試験での扱い</t>
        </is>
      </c>
      <c r="C29" s="24" t="n"/>
      <c r="D29" s="24" t="n"/>
      <c r="E29" s="24" t="inlineStr">
        <is>
          <t>要素を足すたび</t>
        </is>
      </c>
      <c r="F29" s="24" t="n"/>
      <c r="G29" s="24" t="n"/>
    </row>
    <row r="30" ht="20" customHeight="1">
      <c r="A30" s="21">
        <f>HYPERLINK("#'12_シナリオ作成'!A1","12_シナリオ作成")</f>
        <v/>
      </c>
      <c r="B30" s="22" t="inlineStr">
        <is>
          <t>クリック手順</t>
        </is>
      </c>
      <c r="C30" s="22" t="n"/>
      <c r="D30" s="22" t="n"/>
      <c r="E30" s="22" t="inlineStr">
        <is>
          <t>シナリオを作る日</t>
        </is>
      </c>
      <c r="F30" s="22" t="n"/>
      <c r="G30" s="22" t="n"/>
    </row>
    <row r="31" ht="20" customHeight="1">
      <c r="A31" s="23">
        <f>HYPERLINK("#'13_データと相関'!A1","13_データと相関")</f>
        <v/>
      </c>
      <c r="B31" s="24" t="inlineStr">
        <is>
          <t>CSV とトークン引き回し</t>
        </is>
      </c>
      <c r="C31" s="24" t="n"/>
      <c r="D31" s="24" t="n"/>
      <c r="E31" s="24" t="inlineStr">
        <is>
          <t>ログインがあるとき</t>
        </is>
      </c>
      <c r="F31" s="24" t="n"/>
      <c r="G31" s="24" t="n"/>
    </row>
    <row r="32" ht="20" customHeight="1">
      <c r="A32" s="21">
        <f>HYPERLINK("#'34_認証の全体像'!A1","34_認証の全体像")</f>
        <v/>
      </c>
      <c r="B32" s="22" t="inlineStr">
        <is>
          <t>Cognito と API Gateway を足すときの地図</t>
        </is>
      </c>
      <c r="C32" s="22" t="n"/>
      <c r="D32" s="22" t="n"/>
      <c r="E32" s="22" t="inlineStr">
        <is>
          <t>トークンと API キーがあるとき。最初に 34</t>
        </is>
      </c>
      <c r="F32" s="22" t="n"/>
      <c r="G32" s="22" t="n"/>
    </row>
    <row r="33" ht="20" customHeight="1">
      <c r="A33" s="23">
        <f>HYPERLINK("#'35_Cognitoトークン'!A1","35_Cognitoトークン")</f>
        <v/>
      </c>
      <c r="B33" s="24" t="inlineStr">
        <is>
          <t>トークン取得から CLI までのクリック順</t>
        </is>
      </c>
      <c r="C33" s="24" t="n"/>
      <c r="D33" s="24" t="n"/>
      <c r="E33" s="24" t="inlineStr">
        <is>
          <t>認証つきシナリオを作る日</t>
        </is>
      </c>
      <c r="F33" s="24" t="n"/>
      <c r="G33" s="24" t="n"/>
    </row>
    <row r="34" ht="20" customHeight="1">
      <c r="A34" s="21">
        <f>HYPERLINK("#'36_BASE64ヘッダ'!A1","36_BASE64ヘッダ")</f>
        <v/>
      </c>
      <c r="B34" s="22" t="inlineStr">
        <is>
          <t>client_id と client_secret の Authorization</t>
        </is>
      </c>
      <c r="C34" s="22" t="n"/>
      <c r="D34" s="22" t="n"/>
      <c r="E34" s="22" t="inlineStr">
        <is>
          <t>35 の前処理を書くとき</t>
        </is>
      </c>
      <c r="F34" s="22" t="n"/>
      <c r="G34" s="22" t="n"/>
    </row>
    <row r="35" ht="20" customHeight="1">
      <c r="A35" s="23">
        <f>HYPERLINK("#'37_トークンの保持'!A1","37_トークンの保持")</f>
        <v/>
      </c>
      <c r="B35" s="24" t="inlineStr">
        <is>
          <t>access_token を業務リクエストへ渡す</t>
        </is>
      </c>
      <c r="C35" s="24" t="n"/>
      <c r="D35" s="24" t="n"/>
      <c r="E35" s="24" t="inlineStr">
        <is>
          <t>JSON Extractor を書くとき</t>
        </is>
      </c>
      <c r="F35" s="24" t="n"/>
      <c r="G35" s="24" t="n"/>
    </row>
    <row r="36" ht="20" customHeight="1">
      <c r="A36" s="21">
        <f>HYPERLINK("#'38_正規表現抽出'!A1","38_正規表現抽出")</f>
        <v/>
      </c>
      <c r="B36" s="22" t="inlineStr">
        <is>
          <t>正規表現抽出の各欄と Regexp Tester</t>
        </is>
      </c>
      <c r="C36" s="22" t="n"/>
      <c r="D36" s="22" t="n"/>
      <c r="E36" s="22" t="inlineStr">
        <is>
          <t>JSON 以外、または抽出の練習</t>
        </is>
      </c>
      <c r="F36" s="22" t="n"/>
      <c r="G36" s="22" t="n"/>
    </row>
    <row r="37" ht="20" customHeight="1">
      <c r="A37" s="23">
        <f>HYPERLINK("#'39_APIキーヘッダ'!A1","39_APIキーヘッダ")</f>
        <v/>
      </c>
      <c r="B37" s="24" t="inlineStr">
        <is>
          <t>X-API-ID と、標準の X-API-Key</t>
        </is>
      </c>
      <c r="C37" s="24" t="n"/>
      <c r="D37" s="24" t="n"/>
      <c r="E37" s="24" t="inlineStr">
        <is>
          <t>業務リクエストのヘッダを書くとき</t>
        </is>
      </c>
      <c r="F37" s="24" t="n"/>
      <c r="G37" s="24" t="n"/>
    </row>
    <row r="38" ht="20" customHeight="1">
      <c r="A38" s="21">
        <f>HYPERLINK("#'14_GUIで実行'!A1","14_GUIで実行")</f>
        <v/>
      </c>
      <c r="B38" s="22" t="inlineStr">
        <is>
          <t>1 ユーザの実行</t>
        </is>
      </c>
      <c r="C38" s="22" t="n"/>
      <c r="D38" s="22" t="n"/>
      <c r="E38" s="22" t="inlineStr">
        <is>
          <t>保存の前</t>
        </is>
      </c>
      <c r="F38" s="22" t="n"/>
      <c r="G38" s="22" t="n"/>
    </row>
    <row r="39" ht="20" customHeight="1">
      <c r="A39" s="23">
        <f>HYPERLINK("#'15_GUIの結果確認'!A1","15_GUIの結果確認")</f>
        <v/>
      </c>
      <c r="B39" s="24" t="inlineStr">
        <is>
          <t>ツリー、統計、集計の見方</t>
        </is>
      </c>
      <c r="C39" s="24" t="n"/>
      <c r="D39" s="24" t="n"/>
      <c r="E39" s="24" t="inlineStr">
        <is>
          <t>GUI 実行のあと</t>
        </is>
      </c>
      <c r="F39" s="24" t="n"/>
      <c r="G39" s="24" t="n"/>
    </row>
    <row r="40" ht="20" customHeight="1">
      <c r="A40" s="21">
        <f>HYPERLINK("#'16_確認観点と注意'!A1","16_確認観点と注意")</f>
        <v/>
      </c>
      <c r="B40" s="22" t="inlineStr">
        <is>
          <t>合格の前に見るリスト</t>
        </is>
      </c>
      <c r="C40" s="22" t="n"/>
      <c r="D40" s="22" t="n"/>
      <c r="E40" s="22" t="inlineStr">
        <is>
          <t>実行の前と後</t>
        </is>
      </c>
      <c r="F40" s="22" t="n"/>
      <c r="G40" s="22" t="n"/>
    </row>
    <row r="41" ht="20" customHeight="1">
      <c r="A41" s="23">
        <f>HYPERLINK("#'17_JMXの保存と転送'!A1","17_JMXの保存と転送")</f>
        <v/>
      </c>
      <c r="B41" s="24" t="inlineStr">
        <is>
          <t>保存と WinSCP / scp</t>
        </is>
      </c>
      <c r="C41" s="24" t="n"/>
      <c r="D41" s="24" t="n"/>
      <c r="E41" s="24" t="inlineStr">
        <is>
          <t>サーバへ渡すとき</t>
        </is>
      </c>
      <c r="F41" s="24" t="n"/>
      <c r="G41" s="24" t="n"/>
    </row>
    <row r="42" ht="20" customHeight="1">
      <c r="A42" s="21">
        <f>HYPERLINK("#'18_Linuxサーバ準備'!A1","18_Linuxサーバ準備")</f>
        <v/>
      </c>
      <c r="B42" s="22" t="inlineStr">
        <is>
          <t>同じバージョンの導入</t>
        </is>
      </c>
      <c r="C42" s="22" t="n"/>
      <c r="D42" s="22" t="n"/>
      <c r="E42" s="22" t="inlineStr">
        <is>
          <t>初回とバージョン変更時</t>
        </is>
      </c>
      <c r="F42" s="22" t="n"/>
      <c r="G42" s="22" t="n"/>
    </row>
    <row r="43" ht="20" customHeight="1">
      <c r="A43" s="23">
        <f>HYPERLINK("#'19_CLIの実行'!A1","19_CLIの実行")</f>
        <v/>
      </c>
      <c r="B43" s="24" t="inlineStr">
        <is>
          <t>コマンドの意味と jmx の指定</t>
        </is>
      </c>
      <c r="C43" s="24" t="n"/>
      <c r="D43" s="24" t="n"/>
      <c r="E43" s="24" t="inlineStr">
        <is>
          <t>流すたび</t>
        </is>
      </c>
      <c r="F43" s="24" t="n"/>
      <c r="G43" s="24" t="n"/>
    </row>
    <row r="44" ht="20" customHeight="1">
      <c r="A44" s="21">
        <f>HYPERLINK("#'20_コンソール監視'!A1","20_コンソール監視")</f>
        <v/>
      </c>
      <c r="B44" s="22" t="inlineStr">
        <is>
          <t>summary の読み方と止め方</t>
        </is>
      </c>
      <c r="C44" s="22" t="n"/>
      <c r="D44" s="22" t="n"/>
      <c r="E44" s="22" t="inlineStr">
        <is>
          <t>流れているあいだ</t>
        </is>
      </c>
      <c r="F44" s="22" t="n"/>
      <c r="G44" s="22" t="n"/>
    </row>
    <row r="45" ht="20" customHeight="1">
      <c r="A45" s="23">
        <f>HYPERLINK("#'21_JTLとログ'!A1","21_JTLとログ")</f>
        <v/>
      </c>
      <c r="B45" s="24" t="inlineStr">
        <is>
          <t>出力先と中身</t>
        </is>
      </c>
      <c r="C45" s="24" t="n"/>
      <c r="D45" s="24" t="n"/>
      <c r="E45" s="24" t="inlineStr">
        <is>
          <t>終了直後</t>
        </is>
      </c>
      <c r="F45" s="24" t="n"/>
      <c r="G45" s="24" t="n"/>
    </row>
    <row r="46" ht="20" customHeight="1">
      <c r="A46" s="21">
        <f>HYPERLINK("#'22_結果を端末へ'!A1","22_結果を端末へ")</f>
        <v/>
      </c>
      <c r="B46" s="22" t="inlineStr">
        <is>
          <t>戻すファイル</t>
        </is>
      </c>
      <c r="C46" s="22" t="n"/>
      <c r="D46" s="22" t="n"/>
      <c r="E46" s="22" t="inlineStr">
        <is>
          <t>分析の前</t>
        </is>
      </c>
      <c r="F46" s="22" t="n"/>
      <c r="G46" s="22" t="n"/>
    </row>
    <row r="47" ht="20" customHeight="1">
      <c r="A47" s="23">
        <f>HYPERLINK("#'23_Excelへ読込'!A1","23_Excelへ読込")</f>
        <v/>
      </c>
      <c r="B47" s="24" t="inlineStr">
        <is>
          <t>JSON と CSV の読み方</t>
        </is>
      </c>
      <c r="C47" s="24" t="n"/>
      <c r="D47" s="24" t="n"/>
      <c r="E47" s="24" t="inlineStr">
        <is>
          <t>分析の日</t>
        </is>
      </c>
      <c r="F47" s="24" t="n"/>
      <c r="G47" s="24" t="n"/>
    </row>
    <row r="48" ht="20" customHeight="1">
      <c r="A48" s="21">
        <f>HYPERLINK("#'24_分析の手順'!A1","24_分析の手順")</f>
        <v/>
      </c>
      <c r="B48" s="22" t="inlineStr">
        <is>
          <t>指標の意味と切り方</t>
        </is>
      </c>
      <c r="C48" s="22" t="n"/>
      <c r="D48" s="22" t="n"/>
      <c r="E48" s="22" t="inlineStr">
        <is>
          <t>数値を書く前</t>
        </is>
      </c>
      <c r="F48" s="22" t="n"/>
      <c r="G48" s="22" t="n"/>
    </row>
    <row r="49" ht="20" customHeight="1">
      <c r="A49" s="23">
        <f>HYPERLINK("#'25_判定と見込み'!A1","25_判定と見込み")</f>
        <v/>
      </c>
      <c r="B49" s="24" t="inlineStr">
        <is>
          <t>合格の書き方と外挿の限界</t>
        </is>
      </c>
      <c r="C49" s="24" t="n"/>
      <c r="D49" s="24" t="n"/>
      <c r="E49" s="24" t="inlineStr">
        <is>
          <t>所見を書くとき</t>
        </is>
      </c>
      <c r="F49" s="24" t="n"/>
      <c r="G49" s="24" t="n"/>
    </row>
    <row r="50" ht="20" customHeight="1">
      <c r="A50" s="21">
        <f>HYPERLINK("#'26_レポートひな形'!A1","26_レポートひな形")</f>
        <v/>
      </c>
      <c r="B50" s="22" t="inlineStr">
        <is>
          <t>提出用の記入用紙</t>
        </is>
      </c>
      <c r="C50" s="22" t="n"/>
      <c r="D50" s="22" t="n"/>
      <c r="E50" s="22" t="inlineStr">
        <is>
          <t>提出の日</t>
        </is>
      </c>
      <c r="F50" s="22" t="n"/>
      <c r="G50" s="22" t="n"/>
    </row>
    <row r="51" ht="20" customHeight="1">
      <c r="A51" s="23">
        <f>HYPERLINK("#'27_計算例'!A1","27_計算例")</f>
        <v/>
      </c>
      <c r="B51" s="24" t="inlineStr">
        <is>
          <t>小さい JTL で数式を確認</t>
        </is>
      </c>
      <c r="C51" s="24" t="n"/>
      <c r="D51" s="24" t="n"/>
      <c r="E51" s="24" t="inlineStr">
        <is>
          <t>Excel の操作に慣れるとき</t>
        </is>
      </c>
      <c r="F51" s="24" t="n"/>
      <c r="G51" s="24" t="n"/>
    </row>
    <row r="52" ht="20" customHeight="1">
      <c r="A52" s="21">
        <f>HYPERLINK("#'28_トラブル対処'!A1","28_トラブル対処")</f>
        <v/>
      </c>
      <c r="B52" s="22" t="inlineStr">
        <is>
          <t>症状から対処</t>
        </is>
      </c>
      <c r="C52" s="22" t="n"/>
      <c r="D52" s="22" t="n"/>
      <c r="E52" s="22" t="inlineStr">
        <is>
          <t>止まったとき</t>
        </is>
      </c>
      <c r="F52" s="22" t="n"/>
      <c r="G52" s="22" t="n"/>
    </row>
    <row r="53" ht="20" customHeight="1">
      <c r="A53" s="23">
        <f>HYPERLINK("#'29_チェックリスト'!A1","29_チェックリスト")</f>
        <v/>
      </c>
      <c r="B53" s="24" t="inlineStr">
        <is>
          <t>前・中・後</t>
        </is>
      </c>
      <c r="C53" s="24" t="n"/>
      <c r="D53" s="24" t="n"/>
      <c r="E53" s="24" t="inlineStr">
        <is>
          <t>試験当日</t>
        </is>
      </c>
      <c r="F53" s="24" t="n"/>
      <c r="G53" s="24" t="n"/>
    </row>
    <row r="54" ht="20" customHeight="1">
      <c r="A54" s="21">
        <f>HYPERLINK("#'30_コマンド早見'!A1","30_コマンド早見")</f>
        <v/>
      </c>
      <c r="B54" s="22" t="inlineStr">
        <is>
          <t>コピー用</t>
        </is>
      </c>
      <c r="C54" s="22" t="n"/>
      <c r="D54" s="22" t="n"/>
      <c r="E54" s="22" t="inlineStr">
        <is>
          <t>コマンドを打つとき</t>
        </is>
      </c>
      <c r="F54" s="22" t="n"/>
      <c r="G54" s="22" t="n"/>
    </row>
    <row r="55" ht="20" customHeight="1">
      <c r="A55" s="23">
        <f>HYPERLINK("#'31_設定の写し'!A1","31_設定の写し")</f>
        <v/>
      </c>
      <c r="B55" s="24" t="inlineStr">
        <is>
          <t>properties と run.sh の全文</t>
        </is>
      </c>
      <c r="C55" s="24" t="n"/>
      <c r="D55" s="24" t="n"/>
      <c r="E55" s="24" t="inlineStr">
        <is>
          <t>設定を書くとき</t>
        </is>
      </c>
      <c r="F55" s="24" t="n"/>
      <c r="G55" s="24" t="n"/>
    </row>
    <row r="56" ht="20" customHeight="1">
      <c r="A56" s="21">
        <f>HYPERLINK("#'32_画像台帳'!A1","32_画像台帳")</f>
        <v/>
      </c>
      <c r="B56" s="22" t="inlineStr">
        <is>
          <t>差し込み枠の一覧</t>
        </is>
      </c>
      <c r="C56" s="22" t="n"/>
      <c r="D56" s="22" t="n"/>
      <c r="E56" s="22" t="inlineStr">
        <is>
          <t>図を貼るとき</t>
        </is>
      </c>
      <c r="F56" s="22" t="n"/>
      <c r="G56" s="22" t="n"/>
    </row>
    <row r="57" ht="20" customHeight="1">
      <c r="A57" s="23">
        <f>HYPERLINK("#'33_改定履歴'!A1","33_改定履歴")</f>
        <v/>
      </c>
      <c r="B57" s="24" t="inlineStr">
        <is>
          <t>版と参照した公式ページ</t>
        </is>
      </c>
      <c r="C57" s="24" t="n"/>
      <c r="D57" s="24" t="n"/>
      <c r="E57" s="24" t="inlineStr">
        <is>
          <t>手順を直したとき</t>
        </is>
      </c>
      <c r="F57" s="24" t="n"/>
      <c r="G57" s="24" t="n"/>
    </row>
    <row r="59" ht="32" customHeight="1">
      <c r="A59" s="25" t="inlineStr">
        <is>
          <t>シートのタブは番号順。34 から 39 は末尾にある。Cognito でトークンを取り、API Gateway に API キーを載せるシナリオは、13 の次に 34 から 39 を読み、そのあと 14 へ戻る。12 の /api/login は、その認証を足す前の画面練習。</t>
        </is>
      </c>
      <c r="B59" s="25" t="n"/>
      <c r="C59" s="25" t="n"/>
      <c r="D59" s="25" t="n"/>
      <c r="E59" s="25" t="n"/>
      <c r="F59" s="25" t="n"/>
      <c r="G59" s="25" t="n"/>
    </row>
    <row r="60" ht="24" customHeight="1">
      <c r="A60" s="5" t="inlineStr">
        <is>
          <t>画面の言葉について</t>
        </is>
      </c>
      <c r="B60" s="5" t="n"/>
      <c r="C60" s="5" t="n"/>
      <c r="D60" s="5" t="n"/>
      <c r="E60" s="5" t="n"/>
      <c r="F60" s="5" t="n"/>
      <c r="G60" s="5" t="n"/>
    </row>
    <row r="61" ht="32" customHeight="1">
      <c r="A61" s="18" t="inlineStr">
        <is>
          <t>手順のメニュー名は、日本語表示にしたときの名前を先に書き、英語名を括弧に入れている。JMeter は初期設定のままだと英語で開く（JMETER_LANGUAGE の既定が en）。08 の setenv.bat を入れてから起動すると日本語になる。一部の要素名（JSON Extractor、CSV Data Set Config、HTTP(S) Test Script Recorder など）は日本語表示でも英語のまま出ることがある。英語名でメニューを探す。</t>
        </is>
      </c>
      <c r="B61" s="18" t="n"/>
      <c r="C61" s="18" t="n"/>
      <c r="D61" s="18" t="n"/>
      <c r="E61" s="18" t="n"/>
      <c r="F61" s="18" t="n"/>
      <c r="G61" s="18" t="n"/>
    </row>
    <row r="62" ht="24" customHeight="1">
      <c r="A62" s="5" t="inlineStr">
        <is>
          <t>図の入れ方（全シート共通）</t>
        </is>
      </c>
      <c r="B62" s="5" t="n"/>
      <c r="C62" s="5" t="n"/>
      <c r="D62" s="5" t="n"/>
      <c r="E62" s="5" t="n"/>
      <c r="F62" s="5" t="n"/>
      <c r="G62" s="5" t="n"/>
    </row>
    <row r="63" ht="44" customHeight="1">
      <c r="A63" s="18" t="inlineStr">
        <is>
          <t>各シートの「IMG-xx  画像差し込み枠」のグレーセルが貼る場所。1) グレーのセルをクリックする。 2) 挿入 → 画像 → このデバイス。 3) 図を右クリック → サイズとプロパティ → プロパティ。4) 「セルに合わせて移動やサイズ変更をする」を選ぶ。 5) 図の角をドラッグして枠の中に収める。枠を削除しない。図を差し替えるときは、古い図を選んで Delete してから新しい図を入れる。台帳の文章は残る。</t>
        </is>
      </c>
      <c r="B63" s="18" t="n"/>
      <c r="C63" s="18" t="n"/>
      <c r="D63" s="18" t="n"/>
      <c r="E63" s="18" t="n"/>
      <c r="F63" s="18" t="n"/>
      <c r="G63" s="18" t="n"/>
    </row>
    <row r="64" ht="22" customHeight="1">
      <c r="A64" s="14" t="inlineStr">
        <is>
          <t>IMG-02    画像差し込み枠    Excel の挿入メニューで画像を選んでいるところ</t>
        </is>
      </c>
      <c r="B64" s="14" t="n"/>
      <c r="C64" s="14" t="n"/>
      <c r="D64" s="14" t="n"/>
      <c r="E64" s="14" t="n"/>
      <c r="F64" s="14" t="n"/>
      <c r="G64" s="14" t="n"/>
    </row>
    <row r="65" ht="148" customHeight="1">
      <c r="A6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この手順書へ最初の図を入れる練習のとき。
画角: 挿入タブと「このデバイス」が見える。個人のファイル名は写さない。
文章は図の下に隠れてもよい。どの図かは 32_画像台帳 の IMG-02 を見る。</t>
        </is>
      </c>
      <c r="B65" s="15" t="n"/>
      <c r="C65" s="15" t="n"/>
      <c r="D65" s="15" t="n"/>
      <c r="E65" s="15" t="n"/>
      <c r="F65" s="15" t="n"/>
      <c r="G65" s="15" t="n"/>
    </row>
  </sheetData>
  <mergeCells count="95">
    <mergeCell ref="B42:D42"/>
    <mergeCell ref="B57:D57"/>
    <mergeCell ref="E31:G31"/>
    <mergeCell ref="A62:G62"/>
    <mergeCell ref="E40:G40"/>
    <mergeCell ref="B44:D44"/>
    <mergeCell ref="B53:D53"/>
    <mergeCell ref="B34:D34"/>
    <mergeCell ref="B28:D28"/>
    <mergeCell ref="B37:D37"/>
    <mergeCell ref="E26:G26"/>
    <mergeCell ref="E57:G57"/>
    <mergeCell ref="B30:D30"/>
    <mergeCell ref="A59:G59"/>
    <mergeCell ref="B20:D20"/>
    <mergeCell ref="E18:G18"/>
    <mergeCell ref="B54:D54"/>
    <mergeCell ref="E42:G42"/>
    <mergeCell ref="B56:D56"/>
    <mergeCell ref="E35:G35"/>
    <mergeCell ref="E44:G44"/>
    <mergeCell ref="B43:D43"/>
    <mergeCell ref="E20:G20"/>
    <mergeCell ref="E28:G28"/>
    <mergeCell ref="E30:G30"/>
    <mergeCell ref="A63:G63"/>
    <mergeCell ref="E46:G46"/>
    <mergeCell ref="B19:D19"/>
    <mergeCell ref="E54:G54"/>
    <mergeCell ref="E32:G32"/>
    <mergeCell ref="B36:D36"/>
    <mergeCell ref="A1:G1"/>
    <mergeCell ref="E41:G41"/>
    <mergeCell ref="B45:D45"/>
    <mergeCell ref="E47:G47"/>
    <mergeCell ref="E56:G56"/>
    <mergeCell ref="A65:G65"/>
    <mergeCell ref="E43:G43"/>
    <mergeCell ref="B47:D47"/>
    <mergeCell ref="E24:G24"/>
    <mergeCell ref="E33:G33"/>
    <mergeCell ref="B31:D31"/>
    <mergeCell ref="B46:D46"/>
    <mergeCell ref="A3:G3"/>
    <mergeCell ref="B21:D21"/>
    <mergeCell ref="B39:D39"/>
    <mergeCell ref="B48:D48"/>
    <mergeCell ref="A5:G5"/>
    <mergeCell ref="E19:G19"/>
    <mergeCell ref="B23:D23"/>
    <mergeCell ref="A4:G4"/>
    <mergeCell ref="E34:G34"/>
    <mergeCell ref="E36:G36"/>
    <mergeCell ref="E45:G45"/>
    <mergeCell ref="B49:D49"/>
    <mergeCell ref="A60:G60"/>
    <mergeCell ref="B51:D51"/>
    <mergeCell ref="E22:G22"/>
    <mergeCell ref="B41:D41"/>
    <mergeCell ref="A6:G6"/>
    <mergeCell ref="E37:G37"/>
    <mergeCell ref="B35:D35"/>
    <mergeCell ref="B50:D50"/>
    <mergeCell ref="A16:G16"/>
    <mergeCell ref="E21:G21"/>
    <mergeCell ref="B25:D25"/>
    <mergeCell ref="B22:D22"/>
    <mergeCell ref="E23:G23"/>
    <mergeCell ref="A2:G2"/>
    <mergeCell ref="E51:G51"/>
    <mergeCell ref="B29:D29"/>
    <mergeCell ref="B38:D38"/>
    <mergeCell ref="E49:G49"/>
    <mergeCell ref="E27:G27"/>
    <mergeCell ref="B40:D40"/>
    <mergeCell ref="A64:G64"/>
    <mergeCell ref="B55:D55"/>
    <mergeCell ref="B24:D24"/>
    <mergeCell ref="E25:G25"/>
    <mergeCell ref="B33:D33"/>
    <mergeCell ref="A61:G61"/>
    <mergeCell ref="B32:D32"/>
    <mergeCell ref="E53:G53"/>
    <mergeCell ref="B26:D26"/>
    <mergeCell ref="E50:G50"/>
    <mergeCell ref="A7:G7"/>
    <mergeCell ref="E55:G55"/>
    <mergeCell ref="E52:G52"/>
    <mergeCell ref="E39:G39"/>
    <mergeCell ref="B18:D18"/>
    <mergeCell ref="B27:D27"/>
    <mergeCell ref="E48:G48"/>
    <mergeCell ref="B52:D52"/>
    <mergeCell ref="E29:G29"/>
    <mergeCell ref="E38:G38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30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全体像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ファイルと作業の流れ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何を、どこで作り、どこへ渡し、何が戻るかを先に固定する。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登場するもの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名前</t>
        </is>
      </c>
      <c r="B7" s="6" t="inlineStr">
        <is>
          <t>実体</t>
        </is>
      </c>
      <c r="C7" s="6" t="inlineStr">
        <is>
          <t>作る場所</t>
        </is>
      </c>
      <c r="D7" s="6" t="inlineStr">
        <is>
          <t>残す場所</t>
        </is>
      </c>
      <c r="E7" s="6" t="inlineStr">
        <is>
          <t>中身</t>
        </is>
      </c>
      <c r="F7" s="6" t="inlineStr">
        <is>
          <t>負荷の数値に使うか</t>
        </is>
      </c>
      <c r="G7" s="6" t="inlineStr">
        <is>
          <t>画像</t>
        </is>
      </c>
    </row>
    <row r="8" ht="32" customHeight="1">
      <c r="A8" s="7" t="inlineStr">
        <is>
          <t>シナリオ</t>
        </is>
      </c>
      <c r="B8" s="7" t="inlineStr">
        <is>
          <t>拡張子 .jmx の XML</t>
        </is>
      </c>
      <c r="C8" s="7" t="inlineStr">
        <is>
          <t>Windows の GUI で保存</t>
        </is>
      </c>
      <c r="D8" s="7" t="inlineStr">
        <is>
          <t>端末と Linux の plans</t>
        </is>
      </c>
      <c r="E8" s="7" t="inlineStr">
        <is>
          <t>リクエスト順、スレッド、アサーション</t>
        </is>
      </c>
      <c r="F8" s="7" t="inlineStr">
        <is>
          <t>直接は使わない。実行の設計図。</t>
        </is>
      </c>
      <c r="G8" s="7" t="inlineStr"/>
    </row>
    <row r="9" ht="32" customHeight="1">
      <c r="A9" s="8" t="inlineStr">
        <is>
          <t>データ</t>
        </is>
      </c>
      <c r="B9" s="8" t="inlineStr">
        <is>
          <t>UTF-8 の CSV</t>
        </is>
      </c>
      <c r="C9" s="8" t="inlineStr">
        <is>
          <t>Excel かテキストエディタ</t>
        </is>
      </c>
      <c r="D9" s="8" t="inlineStr">
        <is>
          <t>jmx と同じフォルダ</t>
        </is>
      </c>
      <c r="E9" s="8" t="inlineStr">
        <is>
          <t>ユーザ ID など、行ごとの入力</t>
        </is>
      </c>
      <c r="F9" s="8" t="inlineStr">
        <is>
          <t>使わない。個人情報を置かない。</t>
        </is>
      </c>
      <c r="G9" s="8" t="inlineStr"/>
    </row>
    <row r="10" ht="22" customHeight="1">
      <c r="A10" s="7" t="inlineStr">
        <is>
          <t>結果</t>
        </is>
      </c>
      <c r="B10" s="7" t="inlineStr">
        <is>
          <t>拡張子 .jtl の CSV</t>
        </is>
      </c>
      <c r="C10" s="7" t="inlineStr">
        <is>
          <t>Linux の -l が書く</t>
        </is>
      </c>
      <c r="D10" s="7" t="inlineStr">
        <is>
          <t>results/実行日時/</t>
        </is>
      </c>
      <c r="E10" s="7" t="inlineStr">
        <is>
          <t>1 リクエスト 1 行の実測</t>
        </is>
      </c>
      <c r="F10" s="7" t="inlineStr">
        <is>
          <t>詳細分析とエラー抽出に使う。</t>
        </is>
      </c>
      <c r="G10" s="7" t="inlineStr"/>
    </row>
    <row r="11" ht="32" customHeight="1">
      <c r="A11" s="8" t="inlineStr">
        <is>
          <t>実行ログ</t>
        </is>
      </c>
      <c r="B11" s="8" t="inlineStr">
        <is>
          <t>jmeter.log</t>
        </is>
      </c>
      <c r="C11" s="8" t="inlineStr">
        <is>
          <t>Linux の -j が書く</t>
        </is>
      </c>
      <c r="D11" s="8" t="inlineStr">
        <is>
          <t>jtl と同じフォルダ</t>
        </is>
      </c>
      <c r="E11" s="8" t="inlineStr">
        <is>
          <t>JMeter 自身の INFO と ERROR</t>
        </is>
      </c>
      <c r="F11" s="8" t="inlineStr">
        <is>
          <t>性能値ではない。異常の根拠に使う。</t>
        </is>
      </c>
      <c r="G11" s="8" t="inlineStr"/>
    </row>
    <row r="12" ht="32" customHeight="1">
      <c r="A12" s="7" t="inlineStr">
        <is>
          <t>条件メモ</t>
        </is>
      </c>
      <c r="B12" s="7" t="inlineStr">
        <is>
          <t>run-conditions.txt</t>
        </is>
      </c>
      <c r="C12" s="7" t="inlineStr">
        <is>
          <t>run.sh が書く</t>
        </is>
      </c>
      <c r="D12" s="7" t="inlineStr">
        <is>
          <t>jtl と同じフォルダ</t>
        </is>
      </c>
      <c r="E12" s="7" t="inlineStr">
        <is>
          <t>スレッド数、時間、ホスト名</t>
        </is>
      </c>
      <c r="F12" s="7" t="inlineStr">
        <is>
          <t>レポートの試験条件に転記する。</t>
        </is>
      </c>
      <c r="G12" s="7" t="inlineStr"/>
    </row>
    <row r="13" ht="32" customHeight="1">
      <c r="A13" s="8" t="inlineStr">
        <is>
          <t>HTML レポート</t>
        </is>
      </c>
      <c r="B13" s="8" t="inlineStr">
        <is>
          <t>html-report/index.html と statistics.json</t>
        </is>
      </c>
      <c r="C13" s="8" t="inlineStr">
        <is>
          <t>Linux の -e -o が書く</t>
        </is>
      </c>
      <c r="D13" s="8" t="inlineStr">
        <is>
          <t>jtl と同じフォルダ</t>
        </is>
      </c>
      <c r="E13" s="8" t="inlineStr">
        <is>
          <t>公式ダッシュボード</t>
        </is>
      </c>
      <c r="F13" s="8" t="inlineStr">
        <is>
          <t>報告用の代表値は statistics.json。</t>
        </is>
      </c>
      <c r="G13" s="8" t="inlineStr"/>
    </row>
    <row r="14" ht="32" customHeight="1">
      <c r="A14" s="7" t="inlineStr">
        <is>
          <t>報告</t>
        </is>
      </c>
      <c r="B14" s="7" t="inlineStr">
        <is>
          <t>26 のひな形を記入したブック</t>
        </is>
      </c>
      <c r="C14" s="7" t="inlineStr">
        <is>
          <t>Windows の Excel</t>
        </is>
      </c>
      <c r="D14" s="7" t="inlineStr">
        <is>
          <t>提出先の定め</t>
        </is>
      </c>
      <c r="E14" s="7" t="inlineStr">
        <is>
          <t>条件、結果、判定、見込み</t>
        </is>
      </c>
      <c r="F14" s="7" t="inlineStr">
        <is>
          <t>これが提出物。</t>
        </is>
      </c>
      <c r="G14" s="7" t="inlineStr"/>
    </row>
    <row r="16" ht="24" customHeight="1">
      <c r="A16" s="5" t="inlineStr">
        <is>
          <t>ディレクトリ（例。現場の名前に変える）</t>
        </is>
      </c>
      <c r="B16" s="5" t="n"/>
      <c r="C16" s="5" t="n"/>
      <c r="D16" s="5" t="n"/>
      <c r="E16" s="5" t="n"/>
      <c r="F16" s="5" t="n"/>
      <c r="G16" s="5" t="n"/>
    </row>
    <row r="17" ht="117" customHeight="1">
      <c r="A17" s="25" t="inlineStr">
        <is>
          <t>端末
C:\Tools\apache-jmeter-5.6.3\          … プログラム。シナリオは置かない。
C:\LoadTest\scenarios\order-search\   … order-search.jmx と users.csv と load.properties。
C:\LoadTest\results\                   … サーバから戻した実行フォルダを、実行ごとに置く。
Linux
/opt/jmeter/apache-jmeter-5.6.3/         … プログラム。端末と同じ 5.6.3。
/opt/jmeter/plans/order-search/          … jmx、csv、load.properties、run.sh。
/opt/jmeter/results/order-search_年月日時分秒/  … result.jtl、jmeter.log、run-conditions.txt、html-report/。</t>
        </is>
      </c>
      <c r="B17" s="25" t="n"/>
      <c r="C17" s="25" t="n"/>
      <c r="D17" s="25" t="n"/>
      <c r="E17" s="25" t="n"/>
      <c r="F17" s="25" t="n"/>
      <c r="G17" s="25" t="n"/>
    </row>
    <row r="18" ht="24" customHeight="1">
      <c r="A18" s="5" t="inlineStr">
        <is>
          <t>1 回の試験で手が動く順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6" t="inlineStr">
        <is>
          <t>順</t>
        </is>
      </c>
      <c r="B19" s="6" t="inlineStr">
        <is>
          <t>誰の画面</t>
        </is>
      </c>
      <c r="C19" s="6" t="inlineStr">
        <is>
          <t>操作</t>
        </is>
      </c>
      <c r="D19" s="6" t="inlineStr">
        <is>
          <t>渡すもの</t>
        </is>
      </c>
      <c r="E19" s="6" t="inlineStr">
        <is>
          <t>確認</t>
        </is>
      </c>
      <c r="F19" s="6" t="inlineStr">
        <is>
          <t>失敗したら</t>
        </is>
      </c>
      <c r="G19" s="6" t="inlineStr">
        <is>
          <t>画像</t>
        </is>
      </c>
    </row>
    <row r="20" ht="32" customHeight="1">
      <c r="A20" s="7" t="inlineStr">
        <is>
          <t>1</t>
        </is>
      </c>
      <c r="B20" s="7" t="inlineStr">
        <is>
          <t>端末 GUI</t>
        </is>
      </c>
      <c r="C20" s="7" t="inlineStr">
        <is>
          <t>シナリオを直し、1 スレッドで成功を確認する。</t>
        </is>
      </c>
      <c r="D20" s="7" t="inlineStr">
        <is>
          <t>なし</t>
        </is>
      </c>
      <c r="E20" s="7" t="inlineStr">
        <is>
          <t>結果ツリーが成功</t>
        </is>
      </c>
      <c r="F20" s="7" t="inlineStr">
        <is>
          <t>14 に戻る。サーバへ送らない。</t>
        </is>
      </c>
      <c r="G20" s="7" t="inlineStr"/>
    </row>
    <row r="21" ht="32" customHeight="1">
      <c r="A21" s="8" t="inlineStr">
        <is>
          <t>2</t>
        </is>
      </c>
      <c r="B21" s="8" t="inlineStr">
        <is>
          <t>端末 GUI</t>
        </is>
      </c>
      <c r="C21" s="8" t="inlineStr">
        <is>
          <t>結果ツリーなどリスナーを無効にして jmx を保存する。</t>
        </is>
      </c>
      <c r="D21" s="8" t="inlineStr">
        <is>
          <t>jmx</t>
        </is>
      </c>
      <c r="E21" s="8" t="inlineStr">
        <is>
          <t>無効はグレー表示</t>
        </is>
      </c>
      <c r="F21" s="8" t="inlineStr">
        <is>
          <t>有効なリスナーのまま送らない。</t>
        </is>
      </c>
      <c r="G21" s="8" t="inlineStr"/>
    </row>
    <row r="22" ht="32" customHeight="1">
      <c r="A22" s="7" t="inlineStr">
        <is>
          <t>3</t>
        </is>
      </c>
      <c r="B22" s="7" t="inlineStr">
        <is>
          <t>端末 → Linux</t>
        </is>
      </c>
      <c r="C22" s="7" t="inlineStr">
        <is>
          <t>jmx、csv、properties、run.sh を plans へ置く。</t>
        </is>
      </c>
      <c r="D22" s="7" t="inlineStr">
        <is>
          <t>上記一式</t>
        </is>
      </c>
      <c r="E22" s="7" t="inlineStr">
        <is>
          <t>サーバ上で ls してサイズを見る</t>
        </is>
      </c>
      <c r="F22" s="7" t="inlineStr">
        <is>
          <t>CSV の文字コードを確認する。</t>
        </is>
      </c>
      <c r="G22" s="7" t="inlineStr"/>
    </row>
    <row r="23" ht="32" customHeight="1">
      <c r="A23" s="8" t="inlineStr">
        <is>
          <t>4</t>
        </is>
      </c>
      <c r="B23" s="8" t="inlineStr">
        <is>
          <t>Linux</t>
        </is>
      </c>
      <c r="C23" s="8" t="inlineStr">
        <is>
          <t>tmux を開き、スレッド 1 で run.sh を改変して流す。</t>
        </is>
      </c>
      <c r="D23" s="8" t="inlineStr">
        <is>
          <t>コマンド</t>
        </is>
      </c>
      <c r="E23" s="8" t="inlineStr">
        <is>
          <t>summary の Err が 0</t>
        </is>
      </c>
      <c r="F23" s="8" t="inlineStr">
        <is>
          <t>jmx を直す。負荷を上げない。</t>
        </is>
      </c>
      <c r="G23" s="8" t="inlineStr"/>
    </row>
    <row r="24" ht="32" customHeight="1">
      <c r="A24" s="7" t="inlineStr">
        <is>
          <t>5</t>
        </is>
      </c>
      <c r="B24" s="7" t="inlineStr">
        <is>
          <t>Linux</t>
        </is>
      </c>
      <c r="C24" s="7" t="inlineStr">
        <is>
          <t>合意した人数で本番の run.sh を流し、summary を見る。</t>
        </is>
      </c>
      <c r="D24" s="7" t="inlineStr">
        <is>
          <t>コンソール</t>
        </is>
      </c>
      <c r="E24" s="7" t="inlineStr">
        <is>
          <t>Active が目標に届く</t>
        </is>
      </c>
      <c r="F24" s="7" t="inlineStr">
        <is>
          <t>悪化が続くなら shutdown.sh。</t>
        </is>
      </c>
      <c r="G24" s="7" t="inlineStr"/>
    </row>
    <row r="25" ht="32" customHeight="1">
      <c r="A25" s="8" t="inlineStr">
        <is>
          <t>6</t>
        </is>
      </c>
      <c r="B25" s="8" t="inlineStr">
        <is>
          <t>Linux → 端末</t>
        </is>
      </c>
      <c r="C25" s="8" t="inlineStr">
        <is>
          <t>results のその回のフォルダを丸ごと戻す。</t>
        </is>
      </c>
      <c r="D25" s="8" t="inlineStr">
        <is>
          <t>jtl、log、html、条件</t>
        </is>
      </c>
      <c r="E25" s="8" t="inlineStr">
        <is>
          <t>index.html が開く</t>
        </is>
      </c>
      <c r="F25" s="8" t="inlineStr">
        <is>
          <t>index.html だけ戻さない。</t>
        </is>
      </c>
      <c r="G25" s="8" t="inlineStr"/>
    </row>
    <row r="26" ht="32" customHeight="1">
      <c r="A26" s="7" t="inlineStr">
        <is>
          <t>7</t>
        </is>
      </c>
      <c r="B26" s="7" t="inlineStr">
        <is>
          <t>端末 Excel</t>
        </is>
      </c>
      <c r="C26" s="7" t="inlineStr">
        <is>
          <t>statistics.json を読み、ひな形へ転記し、見込みを書く。</t>
        </is>
      </c>
      <c r="D26" s="7" t="inlineStr">
        <is>
          <t>提出ブック</t>
        </is>
      </c>
      <c r="E26" s="7" t="inlineStr">
        <is>
          <t>判定列が埋まっている</t>
        </is>
      </c>
      <c r="F26" s="7" t="inlineStr">
        <is>
          <t>定義の違う数値を混ぜない。</t>
        </is>
      </c>
      <c r="G26" s="7" t="inlineStr"/>
    </row>
    <row r="28" ht="32" customHeight="1">
      <c r="A28" s="18" t="inlineStr">
        <is>
          <t>認証が Cognito のクライアント認証のときは、送るファイルに secrets.properties と run-api.sh が増える。置き場所は /opt/jmeter/plans/api-gateway/ 。中身の作り方は 34 と 35。秘密の値は、この流れ図にも書かない。</t>
        </is>
      </c>
      <c r="B28" s="18" t="n"/>
      <c r="C28" s="18" t="n"/>
      <c r="D28" s="18" t="n"/>
      <c r="E28" s="18" t="n"/>
      <c r="F28" s="18" t="n"/>
      <c r="G28" s="18" t="n"/>
    </row>
    <row r="29" ht="22" customHeight="1">
      <c r="A29" s="14" t="inlineStr">
        <is>
          <t>IMG-03    画像差し込み枠    端末の scenarios フォルダと、サーバの plans フォルダを並べた図</t>
        </is>
      </c>
      <c r="B29" s="14" t="n"/>
      <c r="C29" s="14" t="n"/>
      <c r="D29" s="14" t="n"/>
      <c r="E29" s="14" t="n"/>
      <c r="F29" s="14" t="n"/>
      <c r="G29" s="14" t="n"/>
    </row>
    <row r="30" ht="148" customHeight="1">
      <c r="A30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転送の前後。左右に同じファイル名が並んでいる状態。
画角: jmx、csv、load.properties、run.sh の 4 つが両方にある。jtl はサーバ側の results にだけある。
文章は図の下に隠れてもよい。どの図かは 32_画像台帳 の IMG-03 を見る。</t>
        </is>
      </c>
      <c r="B30" s="15" t="n"/>
      <c r="C30" s="15" t="n"/>
      <c r="D30" s="15" t="n"/>
      <c r="E30" s="15" t="n"/>
      <c r="F30" s="15" t="n"/>
      <c r="G30" s="15" t="n"/>
    </row>
  </sheetData>
  <mergeCells count="12">
    <mergeCell ref="A1:G1"/>
    <mergeCell ref="A17:G17"/>
    <mergeCell ref="A18:G18"/>
    <mergeCell ref="A3:G3"/>
    <mergeCell ref="A6:G6"/>
    <mergeCell ref="A4:G4"/>
    <mergeCell ref="A30:G30"/>
    <mergeCell ref="A2:G2"/>
    <mergeCell ref="A16:G16"/>
    <mergeCell ref="A29:G29"/>
    <mergeCell ref="A28:G28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32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言葉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はじめてでも止まらないための用語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操作中に出てくる言葉を、現場での意味に限って書く。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用語</t>
        </is>
      </c>
      <c r="B6" s="6" t="inlineStr">
        <is>
          <t>短い意味</t>
        </is>
      </c>
      <c r="C6" s="6" t="inlineStr">
        <is>
          <t>この仕事での扱い</t>
        </is>
      </c>
      <c r="D6" s="6" t="inlineStr">
        <is>
          <t>よくある取り違え</t>
        </is>
      </c>
      <c r="E6" s="6" t="inlineStr">
        <is>
          <t>関連シート</t>
        </is>
      </c>
      <c r="F6" s="6" t="inlineStr"/>
      <c r="G6" s="6" t="inlineStr"/>
    </row>
    <row r="7" ht="44" customHeight="1">
      <c r="A7" s="7" t="inlineStr">
        <is>
          <t>スレッド</t>
        </is>
      </c>
      <c r="B7" s="7" t="inlineStr">
        <is>
          <t>仮想ユーザ 1 人の動作の流れ。</t>
        </is>
      </c>
      <c r="C7" s="7" t="inlineStr">
        <is>
          <t>スレッド数＝同時に動かす人数、と報告では書く。厳密には同時接続数と一致しないことがある。</t>
        </is>
      </c>
      <c r="D7" s="7" t="inlineStr">
        <is>
          <t>スレッド数を「1 秒あたりのリクエスト数」と書かない。</t>
        </is>
      </c>
      <c r="E7" s="7" t="inlineStr">
        <is>
          <t>12, 19</t>
        </is>
      </c>
      <c r="F7" s="7" t="inlineStr"/>
      <c r="G7" s="7" t="inlineStr"/>
    </row>
    <row r="8" ht="32" customHeight="1">
      <c r="A8" s="8" t="inlineStr">
        <is>
          <t>Ramp-Up 期間</t>
        </is>
      </c>
      <c r="B8" s="8" t="inlineStr">
        <is>
          <t>全員が起動し終わるまでの秒数。</t>
        </is>
      </c>
      <c r="C8" s="8" t="inlineStr">
        <is>
          <t>100 人を 100 秒なら、約 1 秒に 1 人ずつ増える。</t>
        </is>
      </c>
      <c r="D8" s="8" t="inlineStr">
        <is>
          <t>全員が最初の 1 秒で一斉に始まる、ではない。</t>
        </is>
      </c>
      <c r="E8" s="8" t="inlineStr">
        <is>
          <t>12, 25</t>
        </is>
      </c>
      <c r="F8" s="8" t="inlineStr"/>
      <c r="G8" s="8" t="inlineStr"/>
    </row>
    <row r="9" ht="32" customHeight="1">
      <c r="A9" s="7" t="inlineStr">
        <is>
          <t>ループ回数</t>
        </is>
      </c>
      <c r="B9" s="7" t="inlineStr">
        <is>
          <t>1 人のスレッドがシナリオを何周するか。</t>
        </is>
      </c>
      <c r="C9" s="7" t="inlineStr">
        <is>
          <t>時間指定の試験では「無限」にし、スケジューラの持続時間で終わらせる。</t>
        </is>
      </c>
      <c r="D9" s="7" t="inlineStr">
        <is>
          <t>ループ 1 のまま長時間試験したつもりにならない。</t>
        </is>
      </c>
      <c r="E9" s="7" t="inlineStr">
        <is>
          <t>12</t>
        </is>
      </c>
      <c r="F9" s="7" t="inlineStr"/>
      <c r="G9" s="7" t="inlineStr"/>
    </row>
    <row r="10" ht="32" customHeight="1">
      <c r="A10" s="8" t="inlineStr">
        <is>
          <t>持続時間</t>
        </is>
      </c>
      <c r="B10" s="8" t="inlineStr">
        <is>
          <t>スケジューラが試験を続ける秒数。</t>
        </is>
      </c>
      <c r="C10" s="8" t="inlineStr">
        <is>
          <t>報告の「試験時間」は原則この値。ランプアップを含む。</t>
        </is>
      </c>
      <c r="D10" s="8" t="inlineStr">
        <is>
          <t>持続時間をランプアップより短くすると、全員そろう前に終わる。</t>
        </is>
      </c>
      <c r="E10" s="8" t="inlineStr">
        <is>
          <t>12, 24</t>
        </is>
      </c>
      <c r="F10" s="8" t="inlineStr"/>
      <c r="G10" s="8" t="inlineStr"/>
    </row>
    <row r="11" ht="32" customHeight="1">
      <c r="A11" s="7" t="inlineStr">
        <is>
          <t>サンプラー</t>
        </is>
      </c>
      <c r="B11" s="7" t="inlineStr">
        <is>
          <t>1 回のリクエスト。HTTP リクエストがそれ。</t>
        </is>
      </c>
      <c r="C11" s="7" t="inlineStr">
        <is>
          <t>jtl の 1 行は、原則サンプラー 1 回。</t>
        </is>
      </c>
      <c r="D11" s="7" t="inlineStr">
        <is>
          <t>トランザクションコントローラの親行と子行を両方数えると二重になる。</t>
        </is>
      </c>
      <c r="E11" s="7" t="inlineStr">
        <is>
          <t>11, 21</t>
        </is>
      </c>
      <c r="F11" s="7" t="inlineStr"/>
      <c r="G11" s="7" t="inlineStr"/>
    </row>
    <row r="12" ht="44" customHeight="1">
      <c r="A12" s="8" t="inlineStr">
        <is>
          <t>トランザクション</t>
        </is>
      </c>
      <c r="B12" s="8" t="inlineStr">
        <is>
          <t>複数リクエストを 1 つの業務操作として束ねた名前。</t>
        </is>
      </c>
      <c r="C12" s="8" t="inlineStr">
        <is>
          <t>報告の行はトランザクション名に揃える。</t>
        </is>
      </c>
      <c r="D12" s="8" t="inlineStr">
        <is>
          <t>Generate parent sample のオンオフで行の意味が変わる。</t>
        </is>
      </c>
      <c r="E12" s="8" t="inlineStr">
        <is>
          <t>12, 24</t>
        </is>
      </c>
      <c r="F12" s="8" t="inlineStr"/>
      <c r="G12" s="8" t="inlineStr"/>
    </row>
    <row r="13" ht="44" customHeight="1">
      <c r="A13" s="7" t="inlineStr">
        <is>
          <t>タイマ</t>
        </is>
      </c>
      <c r="B13" s="7" t="inlineStr">
        <is>
          <t>次のリクエストの前に待つ時間。思考時間の代わり。</t>
        </is>
      </c>
      <c r="C13" s="7" t="inlineStr">
        <is>
          <t>一様乱数タイマを業務の待ちに使う。</t>
        </is>
      </c>
      <c r="D13" s="7" t="inlineStr">
        <is>
          <t>タイマはスループットを下げる。入れたことをレポートに書く。</t>
        </is>
      </c>
      <c r="E13" s="7" t="inlineStr">
        <is>
          <t>11</t>
        </is>
      </c>
      <c r="F13" s="7" t="inlineStr"/>
      <c r="G13" s="7" t="inlineStr"/>
    </row>
    <row r="14" ht="44" customHeight="1">
      <c r="A14" s="8" t="inlineStr">
        <is>
          <t>アサーション</t>
        </is>
      </c>
      <c r="B14" s="8" t="inlineStr">
        <is>
          <t>応答が期待どおりかの検査。失敗するとその行はエラーになる。</t>
        </is>
      </c>
      <c r="C14" s="8" t="inlineStr">
        <is>
          <t>応答コードの確認に使う。応答時間の合否は Excel 側を原則にする。</t>
        </is>
      </c>
      <c r="D14" s="8" t="inlineStr">
        <is>
          <t>遅いだけでアサーション失敗にすると、エラー率と遅さの両方が混ざる。</t>
        </is>
      </c>
      <c r="E14" s="8" t="inlineStr">
        <is>
          <t>16, 25</t>
        </is>
      </c>
      <c r="F14" s="8" t="inlineStr"/>
      <c r="G14" s="8" t="inlineStr"/>
    </row>
    <row r="15" ht="32" customHeight="1">
      <c r="A15" s="7" t="inlineStr">
        <is>
          <t>リスナー</t>
        </is>
      </c>
      <c r="B15" s="7" t="inlineStr">
        <is>
          <t>結果を画面やファイルに出す部品。</t>
        </is>
      </c>
      <c r="C15" s="7" t="inlineStr">
        <is>
          <t>GUI の確認用。CLI の前に無効にする。ファイル出力は -l に任せる。</t>
        </is>
      </c>
      <c r="D15" s="7" t="inlineStr">
        <is>
          <t>結果ツリーを有効にした負荷試験はメモリを食って落ちる。</t>
        </is>
      </c>
      <c r="E15" s="7" t="inlineStr">
        <is>
          <t>14, 16</t>
        </is>
      </c>
      <c r="F15" s="7" t="inlineStr"/>
      <c r="G15" s="7" t="inlineStr"/>
    </row>
    <row r="16" ht="32" customHeight="1">
      <c r="A16" s="8" t="inlineStr">
        <is>
          <t>jmx</t>
        </is>
      </c>
      <c r="B16" s="8" t="inlineStr">
        <is>
          <t>シナリオの保存形式。中身は XML。</t>
        </is>
      </c>
      <c r="C16" s="8" t="inlineStr">
        <is>
          <t>テキストで開けるが、手編集は最終手段。</t>
        </is>
      </c>
      <c r="D16" s="8" t="inlineStr">
        <is>
          <t>jmx にパスワードを書くと、ファイルを開いた人に見える。</t>
        </is>
      </c>
      <c r="E16" s="8" t="inlineStr">
        <is>
          <t>17</t>
        </is>
      </c>
      <c r="F16" s="8" t="inlineStr"/>
      <c r="G16" s="8" t="inlineStr"/>
    </row>
    <row r="17" ht="44" customHeight="1">
      <c r="A17" s="7" t="inlineStr">
        <is>
          <t>jtl</t>
        </is>
      </c>
      <c r="B17" s="7" t="inlineStr">
        <is>
          <t>サンプル結果のファイル。この手順では中身は CSV。</t>
        </is>
      </c>
      <c r="C17" s="7" t="inlineStr">
        <is>
          <t>-l でパスを指定する。拡張子は jtl のままでよい。</t>
        </is>
      </c>
      <c r="D17" s="7" t="inlineStr">
        <is>
          <t>既存ファイルがあると追記される。実行ごとに新しいパス。</t>
        </is>
      </c>
      <c r="E17" s="7" t="inlineStr">
        <is>
          <t>19, 21</t>
        </is>
      </c>
      <c r="F17" s="7" t="inlineStr"/>
      <c r="G17" s="7" t="inlineStr"/>
    </row>
    <row r="18" ht="44" customHeight="1">
      <c r="A18" s="8" t="inlineStr">
        <is>
          <t>jmeter.log</t>
        </is>
      </c>
      <c r="B18" s="8" t="inlineStr">
        <is>
          <t>JMeter プログラムのログ。サンプル結果ではない。</t>
        </is>
      </c>
      <c r="C18" s="8" t="inlineStr">
        <is>
          <t>-j で結果フォルダへ出す。</t>
        </is>
      </c>
      <c r="D18" s="8" t="inlineStr">
        <is>
          <t>jtl と log を同じものだと思わない。</t>
        </is>
      </c>
      <c r="E18" s="8" t="inlineStr">
        <is>
          <t>21</t>
        </is>
      </c>
      <c r="F18" s="8" t="inlineStr"/>
      <c r="G18" s="8" t="inlineStr"/>
    </row>
    <row r="19" ht="44" customHeight="1">
      <c r="A19" s="7" t="inlineStr">
        <is>
          <t>プロパティ</t>
        </is>
      </c>
      <c r="B19" s="7" t="inlineStr">
        <is>
          <t>JMeter 全体の設定値。-J や properties ファイルで渡す。</t>
        </is>
      </c>
      <c r="C19" s="7" t="inlineStr">
        <is>
          <t>スレッド数は ${__P(threads,1)} で読む。</t>
        </is>
      </c>
      <c r="D19" s="7" t="inlineStr">
        <is>
          <t>${threads} と書くと -Jthreads を読まない。</t>
        </is>
      </c>
      <c r="E19" s="7" t="inlineStr">
        <is>
          <t>12, 19</t>
        </is>
      </c>
      <c r="F19" s="7" t="inlineStr"/>
      <c r="G19" s="7" t="inlineStr"/>
    </row>
    <row r="20" ht="32" customHeight="1">
      <c r="A20" s="8" t="inlineStr">
        <is>
          <t>変数</t>
        </is>
      </c>
      <c r="B20" s="8" t="inlineStr">
        <is>
          <t>スレッドごとの値。CSV の列や抽出結果。</t>
        </is>
      </c>
      <c r="C20" s="8" t="inlineStr">
        <is>
          <t>${user} や ${token}。他のスレッドからは見えない。</t>
        </is>
      </c>
      <c r="D20" s="8" t="inlineStr">
        <is>
          <t>ユーザ定義変数は全スレッド共通の定数で、CSV の代わりにならない。</t>
        </is>
      </c>
      <c r="E20" s="8" t="inlineStr">
        <is>
          <t>13</t>
        </is>
      </c>
      <c r="F20" s="8" t="inlineStr"/>
      <c r="G20" s="8" t="inlineStr"/>
    </row>
    <row r="21" ht="44" customHeight="1">
      <c r="A21" s="7" t="inlineStr">
        <is>
          <t>elapsed</t>
        </is>
      </c>
      <c r="B21" s="7" t="inlineStr">
        <is>
          <t>そのリクエストの所要時間（ミリ秒）。送信開始から応答完了まで。</t>
        </is>
      </c>
      <c r="C21" s="7" t="inlineStr">
        <is>
          <t>レポートの応答時間はこれを使う。</t>
        </is>
      </c>
      <c r="D21" s="7" t="inlineStr">
        <is>
          <t>Latency や Connect と混ぜない。</t>
        </is>
      </c>
      <c r="E21" s="7" t="inlineStr">
        <is>
          <t>21, 24</t>
        </is>
      </c>
      <c r="F21" s="7" t="inlineStr"/>
      <c r="G21" s="7" t="inlineStr"/>
    </row>
    <row r="22" ht="32" customHeight="1">
      <c r="A22" s="8" t="inlineStr">
        <is>
          <t>Latency</t>
        </is>
      </c>
      <c r="B22" s="8" t="inlineStr">
        <is>
          <t>送信開始から、応答の最初のバイトまで。</t>
        </is>
      </c>
      <c r="C22" s="8" t="inlineStr">
        <is>
          <t>サーバが考え始めた時間の目安。</t>
        </is>
      </c>
      <c r="D22" s="8" t="inlineStr">
        <is>
          <t>elapsed の代わりに平均待ち時間と書かない。</t>
        </is>
      </c>
      <c r="E22" s="8" t="inlineStr">
        <is>
          <t>24</t>
        </is>
      </c>
      <c r="F22" s="8" t="inlineStr"/>
      <c r="G22" s="8" t="inlineStr"/>
    </row>
    <row r="23" ht="32" customHeight="1">
      <c r="A23" s="7" t="inlineStr">
        <is>
          <t>Connect</t>
        </is>
      </c>
      <c r="B23" s="7" t="inlineStr">
        <is>
          <t>接続を確立するまでの時間（ミリ秒）。</t>
        </is>
      </c>
      <c r="C23" s="7" t="inlineStr">
        <is>
          <t>ここだけ大きいときはネットワークや接続数を疑う。</t>
        </is>
      </c>
      <c r="D23" s="7" t="inlineStr">
        <is>
          <t>Connect が 0 付近でも応答が遅いことはある。</t>
        </is>
      </c>
      <c r="E23" s="7" t="inlineStr">
        <is>
          <t>24</t>
        </is>
      </c>
      <c r="F23" s="7" t="inlineStr"/>
      <c r="G23" s="7" t="inlineStr"/>
    </row>
    <row r="24" ht="32" customHeight="1">
      <c r="A24" s="8" t="inlineStr">
        <is>
          <t>スループット</t>
        </is>
      </c>
      <c r="B24" s="8" t="inlineStr">
        <is>
          <t>単位時間あたりに完了したサンプル数。</t>
        </is>
      </c>
      <c r="C24" s="8" t="inlineStr">
        <is>
          <t>報告では「件/秒」と、分母にした時間を書く。</t>
        </is>
      </c>
      <c r="D24" s="8" t="inlineStr">
        <is>
          <t>スレッド数そのものをスループットと呼ばない。</t>
        </is>
      </c>
      <c r="E24" s="8" t="inlineStr">
        <is>
          <t>24</t>
        </is>
      </c>
      <c r="F24" s="8" t="inlineStr"/>
      <c r="G24" s="8" t="inlineStr"/>
    </row>
    <row r="25" ht="44" customHeight="1">
      <c r="A25" s="7" t="inlineStr">
        <is>
          <t>パーセンタイル</t>
        </is>
      </c>
      <c r="B25" s="7" t="inlineStr">
        <is>
          <t>速い順に並べたとき、その位置より遅いものが残る割合の境界。</t>
        </is>
      </c>
      <c r="C25" s="7" t="inlineStr">
        <is>
          <t>95% 値は「95% のリクエストはこの時間以内」。平均よりこちらを基準にする。</t>
        </is>
      </c>
      <c r="D25" s="7" t="inlineStr">
        <is>
          <t>平均が基準内でも 95% 値が基準超過なら、その取引は不合格にできる。</t>
        </is>
      </c>
      <c r="E25" s="7" t="inlineStr">
        <is>
          <t>24, 27</t>
        </is>
      </c>
      <c r="F25" s="7" t="inlineStr"/>
      <c r="G25" s="7" t="inlineStr"/>
    </row>
    <row r="26" ht="32" customHeight="1">
      <c r="A26" s="8" t="inlineStr">
        <is>
          <t>エラー率</t>
        </is>
      </c>
      <c r="B26" s="8" t="inlineStr">
        <is>
          <t>失敗サンプル数 ÷ サンプル数。</t>
        </is>
      </c>
      <c r="C26" s="8" t="inlineStr">
        <is>
          <t>success が false の割合。終了コードとは別。</t>
        </is>
      </c>
      <c r="D26" s="8" t="inlineStr">
        <is>
          <t>HTTP 200 でもアサーション失敗ならエラー。</t>
        </is>
      </c>
      <c r="E26" s="8" t="inlineStr">
        <is>
          <t>20, 25</t>
        </is>
      </c>
      <c r="F26" s="8" t="inlineStr"/>
      <c r="G26" s="8" t="inlineStr"/>
    </row>
    <row r="27" ht="44" customHeight="1">
      <c r="A27" s="7" t="inlineStr">
        <is>
          <t>APDEX</t>
        </is>
      </c>
      <c r="B27" s="7" t="inlineStr">
        <is>
          <t>満足・許容・失望の 3 段で体験を 0 から 1 に要約した指数。</t>
        </is>
      </c>
      <c r="C27" s="7" t="inlineStr">
        <is>
          <t>HTML レポートに出る。閾値は user.properties の 500ms / 1500ms が初期値。</t>
        </is>
      </c>
      <c r="D27" s="7" t="inlineStr">
        <is>
          <t>APDEX が高いことと、社内の合格基準を同じものにしない。基準は別途書く。</t>
        </is>
      </c>
      <c r="E27" s="7" t="inlineStr">
        <is>
          <t>21, 25</t>
        </is>
      </c>
      <c r="F27" s="7" t="inlineStr"/>
      <c r="G27" s="7" t="inlineStr"/>
    </row>
    <row r="28" ht="32" customHeight="1">
      <c r="A28" s="8" t="inlineStr">
        <is>
          <t>CLI / 非 GUI</t>
        </is>
      </c>
      <c r="B28" s="8" t="inlineStr">
        <is>
          <t>画面を出さずに実行するモード。-n で指定。</t>
        </is>
      </c>
      <c r="C28" s="8" t="inlineStr">
        <is>
          <t>人数をかける試験は必ずこちら。</t>
        </is>
      </c>
      <c r="D28" s="8" t="inlineStr">
        <is>
          <t>サーバで jmeter とだけ打つと GUI を開こうとして失敗する。</t>
        </is>
      </c>
      <c r="E28" s="8" t="inlineStr">
        <is>
          <t>19</t>
        </is>
      </c>
      <c r="F28" s="8" t="inlineStr"/>
      <c r="G28" s="8" t="inlineStr"/>
    </row>
    <row r="29" ht="44" customHeight="1">
      <c r="A29" s="7" t="inlineStr">
        <is>
          <t>見込み</t>
        </is>
      </c>
      <c r="B29" s="7" t="inlineStr">
        <is>
          <t>今回の実測の内側で言える余力と、次に試す負荷。</t>
        </is>
      </c>
      <c r="C29" s="7" t="inlineStr">
        <is>
          <t>曲がっていない範囲だけを書く。直線で 2 倍とは書かない。</t>
        </is>
      </c>
      <c r="D29" s="7" t="inlineStr">
        <is>
          <t>未測定の人数を、測定済みのように書かない。</t>
        </is>
      </c>
      <c r="E29" s="7" t="inlineStr">
        <is>
          <t>25</t>
        </is>
      </c>
      <c r="F29" s="7" t="inlineStr"/>
      <c r="G29" s="7" t="inlineStr"/>
    </row>
    <row r="31" ht="22" customHeight="1">
      <c r="A31" s="14" t="inlineStr">
        <is>
          <t>IMG-04    画像差し込み枠    用語を画面上で指したメモ（任意）</t>
        </is>
      </c>
      <c r="B31" s="14" t="n"/>
      <c r="C31" s="14" t="n"/>
      <c r="D31" s="14" t="n"/>
      <c r="E31" s="14" t="n"/>
      <c r="F31" s="14" t="n"/>
      <c r="G31" s="14" t="n"/>
    </row>
    <row r="32" ht="148" customHeight="1">
      <c r="A32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教育で画面を見せながら説明するとき。無くても手順は進む。
画角: スレッドグループのスレッド数、Ramp-Up、ループ回数の 3 欄が同時に見える。
文章は図の下に隠れてもよい。どの図かは 32_画像台帳 の IMG-04 を見る。</t>
        </is>
      </c>
      <c r="B32" s="15" t="n"/>
      <c r="C32" s="15" t="n"/>
      <c r="D32" s="15" t="n"/>
      <c r="E32" s="15" t="n"/>
      <c r="F32" s="15" t="n"/>
      <c r="G32" s="15" t="n"/>
    </row>
  </sheetData>
  <autoFilter ref="A6:G29"/>
  <mergeCells count="7">
    <mergeCell ref="A32:G32"/>
    <mergeCell ref="A1:G1"/>
    <mergeCell ref="A31:G31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15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分担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誰が何を残すか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一人でやるときも、成果物の名前と置き場所は同じにする。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成果物</t>
        </is>
      </c>
      <c r="B6" s="6" t="inlineStr">
        <is>
          <t>作る人</t>
        </is>
      </c>
      <c r="C6" s="6" t="inlineStr">
        <is>
          <t>置く場所</t>
        </is>
      </c>
      <c r="D6" s="6" t="inlineStr">
        <is>
          <t>ファイル名の例</t>
        </is>
      </c>
      <c r="E6" s="6" t="inlineStr">
        <is>
          <t>次の人が見ること</t>
        </is>
      </c>
      <c r="F6" s="6" t="inlineStr">
        <is>
          <t>残さないもの</t>
        </is>
      </c>
      <c r="G6" s="6" t="inlineStr"/>
    </row>
    <row r="7" ht="32" customHeight="1">
      <c r="A7" s="7" t="inlineStr">
        <is>
          <t>試験条件の合意</t>
        </is>
      </c>
      <c r="B7" s="7" t="inlineStr">
        <is>
          <t>依頼元と実施者</t>
        </is>
      </c>
      <c r="C7" s="7" t="inlineStr">
        <is>
          <t>チケットかメール</t>
        </is>
      </c>
      <c r="D7" s="7" t="inlineStr">
        <is>
          <t>条件は run-conditions に再掲</t>
        </is>
      </c>
      <c r="E7" s="7" t="inlineStr">
        <is>
          <t>対象 URL、人数、時間、合格基準</t>
        </is>
      </c>
      <c r="F7" s="7" t="inlineStr">
        <is>
          <t>口頭だけ</t>
        </is>
      </c>
      <c r="G7" s="7" t="inlineStr"/>
    </row>
    <row r="8" ht="22" customHeight="1">
      <c r="A8" s="8" t="inlineStr">
        <is>
          <t>jmx</t>
        </is>
      </c>
      <c r="B8" s="8" t="inlineStr">
        <is>
          <t>シナリオ作成者</t>
        </is>
      </c>
      <c r="C8" s="8" t="inlineStr">
        <is>
          <t>端末と Linux の plans</t>
        </is>
      </c>
      <c r="D8" s="8" t="inlineStr">
        <is>
          <t>order-search.jmx</t>
        </is>
      </c>
      <c r="E8" s="8" t="inlineStr">
        <is>
          <t>バージョン 5.6.3 で開くこと</t>
        </is>
      </c>
      <c r="F8" s="8" t="inlineStr">
        <is>
          <t>結果ツリーが有効な版</t>
        </is>
      </c>
      <c r="G8" s="8" t="inlineStr"/>
    </row>
    <row r="9" ht="22" customHeight="1">
      <c r="A9" s="7" t="inlineStr">
        <is>
          <t>CSV</t>
        </is>
      </c>
      <c r="B9" s="7" t="inlineStr">
        <is>
          <t>シナリオ作成者</t>
        </is>
      </c>
      <c r="C9" s="7" t="inlineStr">
        <is>
          <t>jmx の隣</t>
        </is>
      </c>
      <c r="D9" s="7" t="inlineStr">
        <is>
          <t>users.csv</t>
        </is>
      </c>
      <c r="E9" s="7" t="inlineStr">
        <is>
          <t>UTF-8、1 行目が列名</t>
        </is>
      </c>
      <c r="F9" s="7" t="inlineStr">
        <is>
          <t>本番パスワード、個人情報</t>
        </is>
      </c>
      <c r="G9" s="7" t="inlineStr"/>
    </row>
    <row r="10" ht="32" customHeight="1">
      <c r="A10" s="8" t="inlineStr">
        <is>
          <t>run.sh</t>
        </is>
      </c>
      <c r="B10" s="8" t="inlineStr">
        <is>
          <t>実施者</t>
        </is>
      </c>
      <c r="C10" s="8" t="inlineStr">
        <is>
          <t>plans/シナリオ名</t>
        </is>
      </c>
      <c r="D10" s="8" t="inlineStr">
        <is>
          <t>run.sh（LF）</t>
        </is>
      </c>
      <c r="E10" s="8" t="inlineStr">
        <is>
          <t>結果先が実行ごとに分かれること</t>
        </is>
      </c>
      <c r="F10" s="8" t="inlineStr">
        <is>
          <t>CRLF のままの sh</t>
        </is>
      </c>
      <c r="G10" s="8" t="inlineStr"/>
    </row>
    <row r="11" ht="22" customHeight="1">
      <c r="A11" s="7" t="inlineStr">
        <is>
          <t>コンソール控</t>
        </is>
      </c>
      <c r="B11" s="7" t="inlineStr">
        <is>
          <t>実施者</t>
        </is>
      </c>
      <c r="C11" s="7" t="inlineStr">
        <is>
          <t>結果フォルダかチケット</t>
        </is>
      </c>
      <c r="D11" s="7" t="inlineStr">
        <is>
          <t>summary の最終行を貼る</t>
        </is>
      </c>
      <c r="E11" s="7" t="inlineStr">
        <is>
          <t>Err と Active</t>
        </is>
      </c>
      <c r="F11" s="7" t="inlineStr">
        <is>
          <t>途中行だけを結果と称する</t>
        </is>
      </c>
      <c r="G11" s="7" t="inlineStr"/>
    </row>
    <row r="12" ht="32" customHeight="1">
      <c r="A12" s="8" t="inlineStr">
        <is>
          <t>jtl / log / html</t>
        </is>
      </c>
      <c r="B12" s="8" t="inlineStr">
        <is>
          <t>CLI が生成</t>
        </is>
      </c>
      <c r="C12" s="8" t="inlineStr">
        <is>
          <t>results/シナリオ_日時</t>
        </is>
      </c>
      <c r="D12" s="8" t="inlineStr">
        <is>
          <t>result.jtl ほか</t>
        </is>
      </c>
      <c r="E12" s="8" t="inlineStr">
        <is>
          <t>フォルダ一式が揃っている</t>
        </is>
      </c>
      <c r="F12" s="8" t="inlineStr">
        <is>
          <t>index.html 単体</t>
        </is>
      </c>
      <c r="G12" s="8" t="inlineStr"/>
    </row>
    <row r="13" ht="22" customHeight="1">
      <c r="A13" s="7" t="inlineStr">
        <is>
          <t>報告</t>
        </is>
      </c>
      <c r="B13" s="7" t="inlineStr">
        <is>
          <t>分析者</t>
        </is>
      </c>
      <c r="C13" s="7" t="inlineStr">
        <is>
          <t>提出先</t>
        </is>
      </c>
      <c r="D13" s="7" t="inlineStr">
        <is>
          <t>26 を記入した xlsx</t>
        </is>
      </c>
      <c r="E13" s="7" t="inlineStr">
        <is>
          <t>条件、数値、判定、見込み、図</t>
        </is>
      </c>
      <c r="F13" s="7" t="inlineStr">
        <is>
          <t>出典の無い平均値だけ</t>
        </is>
      </c>
      <c r="G13" s="7" t="inlineStr"/>
    </row>
    <row r="15" ht="32" customHeight="1">
      <c r="A15" s="18" t="inlineStr">
        <is>
          <t>同じ JMeter のバージョンを、端末と Linux の両方に置く。片方が 5.6.3、片方が 5.4 だと、jmx の要素が読めずに CLI が起動直後に落ちることがある。両方で jmeter -v の結果を報告の試験条件へ残す。</t>
        </is>
      </c>
      <c r="B15" s="18" t="n"/>
      <c r="C15" s="18" t="n"/>
      <c r="D15" s="18" t="n"/>
      <c r="E15" s="18" t="n"/>
      <c r="F15" s="18" t="n"/>
      <c r="G15" s="18" t="n"/>
    </row>
  </sheetData>
  <mergeCells count="6">
    <mergeCell ref="A1:G1"/>
    <mergeCell ref="A3:G3"/>
    <mergeCell ref="A4:G4"/>
    <mergeCell ref="A2:G2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17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Windows 11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Java 17 を入れてから JMeter を取る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JMeter は Java の上で動く。Java が無いと jmeter.bat は窓を開いてすぐ閉じる。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何を入れるか</t>
        </is>
      </c>
      <c r="B6" s="5" t="n"/>
      <c r="C6" s="5" t="n"/>
      <c r="D6" s="5" t="n"/>
      <c r="E6" s="5" t="n"/>
      <c r="F6" s="5" t="n"/>
      <c r="G6" s="5" t="n"/>
    </row>
    <row r="7" ht="44" customHeight="1">
      <c r="A7" s="18" t="inlineStr">
        <is>
          <t>配布ページ（download_jmeter.cgi）は JMeter 5.6.3 に Java 8 以上と書いている。Getting Started も Java 8 以上で、HTTPS の録音をするなら JDK（keytool があるもの）がよい、と書いている。Changes は「5.6 系の実行は Java 8 以上、Java 17 以上を推奨。次のメジャーは Java 17 以上が必須」と書いている。この手順は新規導入を Java 17 の JDK に揃える。既に Java 17 以上が入っていれば足さなくてよい。Java 8 しか無い端末で 5.6.3 を動かすこと自体は、配布条件の範囲内。</t>
        </is>
      </c>
      <c r="B7" s="18" t="n"/>
      <c r="C7" s="18" t="n"/>
      <c r="D7" s="18" t="n"/>
      <c r="E7" s="18" t="n"/>
      <c r="F7" s="18" t="n"/>
      <c r="G7" s="18" t="n"/>
    </row>
    <row r="8" ht="28" customHeight="1">
      <c r="A8" s="6" t="inlineStr">
        <is>
          <t>手順</t>
        </is>
      </c>
      <c r="B8" s="6" t="inlineStr">
        <is>
          <t>どこで</t>
        </is>
      </c>
      <c r="C8" s="6" t="inlineStr">
        <is>
          <t>操作</t>
        </is>
      </c>
      <c r="D8" s="6" t="inlineStr">
        <is>
          <t>入力する値</t>
        </is>
      </c>
      <c r="E8" s="6" t="inlineStr">
        <is>
          <t>うまくいったときの見え方</t>
        </is>
      </c>
      <c r="F8" s="6" t="inlineStr">
        <is>
          <t>つまずきやすい点</t>
        </is>
      </c>
      <c r="G8" s="6" t="inlineStr">
        <is>
          <t>画像</t>
        </is>
      </c>
    </row>
    <row r="9" ht="32" customHeight="1">
      <c r="A9" s="7" t="inlineStr">
        <is>
          <t>1</t>
        </is>
      </c>
      <c r="B9" s="7" t="inlineStr">
        <is>
          <t>PowerShell</t>
        </is>
      </c>
      <c r="C9" s="7" t="inlineStr">
        <is>
          <t>今の Java を見る。</t>
        </is>
      </c>
      <c r="D9" s="7" t="inlineStr">
        <is>
          <t>java -version</t>
        </is>
      </c>
      <c r="E9" s="7" t="inlineStr">
        <is>
          <t>openjdk version "17 で始まる行、または 21。</t>
        </is>
      </c>
      <c r="F9" s="7" t="inlineStr">
        <is>
          <t>「用語 'java' は認識されません」なら未導入。</t>
        </is>
      </c>
      <c r="G9" s="7" t="inlineStr"/>
    </row>
    <row r="10" ht="32" customHeight="1">
      <c r="A10" s="8" t="inlineStr">
        <is>
          <t>2</t>
        </is>
      </c>
      <c r="B10" s="8" t="inlineStr">
        <is>
          <t>同じ窓</t>
        </is>
      </c>
      <c r="C10" s="8" t="inlineStr">
        <is>
          <t>JAVA_HOME を見る。</t>
        </is>
      </c>
      <c r="D10" s="8" t="inlineStr">
        <is>
          <t>echo $env:JAVA_HOME</t>
        </is>
      </c>
      <c r="E10" s="8" t="inlineStr">
        <is>
          <t>JDK のフォルダ（bin の一つ上）が表示される。</t>
        </is>
      </c>
      <c r="F10" s="8" t="inlineStr">
        <is>
          <t>bin まで含めたパスを JAVA_HOME にしない。</t>
        </is>
      </c>
      <c r="G10" s="8" t="inlineStr"/>
    </row>
    <row r="11" ht="56" customHeight="1">
      <c r="A11" s="7" t="inlineStr">
        <is>
          <t>3</t>
        </is>
      </c>
      <c r="B11" s="7" t="inlineStr">
        <is>
          <t>ブラウザ</t>
        </is>
      </c>
      <c r="C11" s="7" t="inlineStr">
        <is>
          <t>未導入なら Temurin 17 の JDK（Windows x64 の msi）を入れる。社内で指定の JDK があるならそれを使う。</t>
        </is>
      </c>
      <c r="D11" s="7" t="inlineStr">
        <is>
          <t>インストール先を控える。例: C:\Program Files\Eclipse Adoptium\jdk-17...</t>
        </is>
      </c>
      <c r="E11" s="7" t="inlineStr">
        <is>
          <t>java -version が 17 になる。</t>
        </is>
      </c>
      <c r="F11" s="7" t="inlineStr">
        <is>
          <t>JMeter 用に Java の古い 8 を消して、他の業務アプリを壊さない。不明なら情報システムへ確認。</t>
        </is>
      </c>
      <c r="G11" s="7" t="inlineStr"/>
    </row>
    <row r="12" ht="56" customHeight="1">
      <c r="A12" s="8" t="inlineStr">
        <is>
          <t>4</t>
        </is>
      </c>
      <c r="B12" s="8" t="inlineStr">
        <is>
          <t>設定 → システム → バージョン情報 → システムの詳細設定 → 環境変数</t>
        </is>
      </c>
      <c r="C12" s="8" t="inlineStr">
        <is>
          <t>ユーザ環境変数 JAVA_HOME を JDK のホームにする。Path に %JAVA_HOME%\bin を足す。</t>
        </is>
      </c>
      <c r="D12" s="8" t="inlineStr">
        <is>
          <t>JAVA_HOME=C:\Program Files\Eclipse Adoptium\jdk-17.0.xx-hotspot のように、実在するフォルダ。</t>
        </is>
      </c>
      <c r="E12" s="8" t="inlineStr">
        <is>
          <t>新しい PowerShell で java -version が 17。</t>
        </is>
      </c>
      <c r="F12" s="8" t="inlineStr">
        <is>
          <t>設定したあとに開いたままの古い PowerShell は、古い環境変数のまま。窓を開き直す。</t>
        </is>
      </c>
      <c r="G12" s="8" t="inlineStr"/>
    </row>
    <row r="13" ht="56" customHeight="1">
      <c r="A13" s="7" t="inlineStr">
        <is>
          <t>5</t>
        </is>
      </c>
      <c r="B13" s="7" t="inlineStr">
        <is>
          <t>新しい PowerShell</t>
        </is>
      </c>
      <c r="C13" s="7" t="inlineStr">
        <is>
          <t>もう一度確認する。</t>
        </is>
      </c>
      <c r="D13" s="7" t="inlineStr">
        <is>
          <t>java -version
javac -version</t>
        </is>
      </c>
      <c r="E13" s="7" t="inlineStr">
        <is>
          <t>どちらも 17。javac が無いのは JRE だけのことがある。録音しないなら JRE でも JMeter は起動できる。</t>
        </is>
      </c>
      <c r="F13" s="7" t="inlineStr">
        <is>
          <t>32 ビットの Java を 64 ビット Windows に混ぜるとメモリを積めない。x64 を使う。</t>
        </is>
      </c>
      <c r="G13" s="7" t="inlineStr">
        <is>
          <t>下の枠</t>
        </is>
      </c>
    </row>
    <row r="15" ht="22" customHeight="1">
      <c r="A15" s="14" t="inlineStr">
        <is>
          <t>IMG-05    画像差し込み枠    java -version と javac -version と echo $env:JAVA_HOME の 3 行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環境変数を入れて、PowerShell を開き直した直後。
画角: バージョンが 17 であることと、JAVA_HOME が bin で終わっていないことが読める大きさ。
文章は図の下に隠れてもよい。どの図かは 32_画像台帳 の IMG-05 を見る。</t>
        </is>
      </c>
      <c r="B16" s="15" t="n"/>
      <c r="C16" s="15" t="n"/>
      <c r="D16" s="15" t="n"/>
      <c r="E16" s="15" t="n"/>
      <c r="F16" s="15" t="n"/>
      <c r="G16" s="15" t="n"/>
    </row>
    <row r="17" ht="28" customHeight="1">
      <c r="A17" s="18" t="inlineStr">
        <is>
          <t>会社の PC でインストーラが禁止されているときは、ここで止まって申請する。ポータブルな JDK の zip を使う運用が既にあるなら、その展開先を JAVA_HOME にする。JMeter 自体の zip とは別物。</t>
        </is>
      </c>
      <c r="B17" s="18" t="n"/>
      <c r="C17" s="18" t="n"/>
      <c r="D17" s="18" t="n"/>
      <c r="E17" s="18" t="n"/>
      <c r="F17" s="18" t="n"/>
      <c r="G17" s="18" t="n"/>
    </row>
  </sheetData>
  <mergeCells count="10">
    <mergeCell ref="A1:G1"/>
    <mergeCell ref="A17:G17"/>
    <mergeCell ref="A3:G3"/>
    <mergeCell ref="A6:G6"/>
    <mergeCell ref="A4:G4"/>
    <mergeCell ref="A2:G2"/>
    <mergeCell ref="A16:G16"/>
    <mergeCell ref="A15:G15"/>
    <mergeCell ref="A7:G7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16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Windows 11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公式サイトからバイナリだけを取る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ソースの zip は実行に不要。ビルドもしない。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ブラウザ</t>
        </is>
      </c>
      <c r="C7" s="7" t="inlineStr">
        <is>
          <t>公式のダウンロードページを開く。検索広告の似たサイトは開かない。</t>
        </is>
      </c>
      <c r="D7" s="7" t="inlineStr">
        <is>
          <t>https://jmeter.apache.org/download_jmeter.cgi</t>
        </is>
      </c>
      <c r="E7" s="7" t="inlineStr">
        <is>
          <t>見出しに Apache JMeter 5.6.3 とある。</t>
        </is>
      </c>
      <c r="F7" s="7" t="inlineStr">
        <is>
          <t>バージョンが 5.6.3 でないときは、この手順の画面名と違うことがある。番号を報告に書く。</t>
        </is>
      </c>
      <c r="G7" s="7" t="inlineStr"/>
    </row>
    <row r="8" ht="44" customHeight="1">
      <c r="A8" s="8" t="inlineStr">
        <is>
          <t>2</t>
        </is>
      </c>
      <c r="B8" s="8" t="inlineStr">
        <is>
          <t>Binaries の行</t>
        </is>
      </c>
      <c r="C8" s="8" t="inlineStr">
        <is>
          <t>apache-jmeter-5.6.3.zip を保存する。Source の zip は取らない。</t>
        </is>
      </c>
      <c r="D8" s="8" t="inlineStr">
        <is>
          <t>保存先の例: C:\LoadTest\dist\</t>
        </is>
      </c>
      <c r="E8" s="8" t="inlineStr">
        <is>
          <t>約 70MB 前後の zip。サイズは配布の更新で変わるので、ハッシュで判断する。</t>
        </is>
      </c>
      <c r="F8" s="8" t="inlineStr">
        <is>
          <t>tgz は Linux 用。Windows の展開に使えなくはないが、この手順は zip。</t>
        </is>
      </c>
      <c r="G8" s="8" t="inlineStr">
        <is>
          <t>IMG-03</t>
        </is>
      </c>
    </row>
    <row r="9" ht="44" customHeight="1">
      <c r="A9" s="7" t="inlineStr">
        <is>
          <t>3</t>
        </is>
      </c>
      <c r="B9" s="7" t="inlineStr">
        <is>
          <t>同じページ</t>
        </is>
      </c>
      <c r="C9" s="7" t="inlineStr">
        <is>
          <t>sha512 のリンクを保存する。ページの説明どおり、ハッシュは本体サイト側のファイルを使う。</t>
        </is>
      </c>
      <c r="D9" s="7" t="inlineStr">
        <is>
          <t>apache-jmeter-5.6.3.zip.sha512</t>
        </is>
      </c>
      <c r="E9" s="7" t="inlineStr">
        <is>
          <t>テキストファイルが残る。</t>
        </is>
      </c>
      <c r="F9" s="7" t="inlineStr">
        <is>
          <t>ミラーページに書いてあるハッシュを、目視だけで信じない。</t>
        </is>
      </c>
      <c r="G9" s="7" t="inlineStr"/>
    </row>
    <row r="10" ht="44" customHeight="1">
      <c r="A10" s="8" t="inlineStr">
        <is>
          <t>4</t>
        </is>
      </c>
      <c r="B10" s="8" t="inlineStr">
        <is>
          <t>PowerShell</t>
        </is>
      </c>
      <c r="C10" s="8" t="inlineStr">
        <is>
          <t>ハッシュを計算して、sha512 ファイルの中の文字列と比べる。大文字小文字は無視してよい。</t>
        </is>
      </c>
      <c r="D10" s="8" t="inlineStr">
        <is>
          <t>certutil -hashfile C:\LoadTest\dist\apache-jmeter-5.6.3.zip SHA512</t>
        </is>
      </c>
      <c r="E10" s="8" t="inlineStr">
        <is>
          <t>計算結果と sha512 ファイルのハッシュが一致。</t>
        </is>
      </c>
      <c r="F10" s="8" t="inlineStr">
        <is>
          <t>一致しない zip は展開しない。取り直す。</t>
        </is>
      </c>
      <c r="G10" s="8" t="inlineStr"/>
    </row>
    <row r="11" ht="44" customHeight="1">
      <c r="A11" s="7" t="inlineStr">
        <is>
          <t>5</t>
        </is>
      </c>
      <c r="B11" s="7" t="inlineStr">
        <is>
          <t>任意</t>
        </is>
      </c>
      <c r="C11" s="7" t="inlineStr">
        <is>
          <t>gpg が使えるなら、KEYS と .asc で署名も確認する。社内手順で必須なら必須に従う。</t>
        </is>
      </c>
      <c r="D11" s="7" t="inlineStr">
        <is>
          <t>gpg --verify apache-jmeter-5.6.3.zip.asc apache-jmeter-5.6.3.zip</t>
        </is>
      </c>
      <c r="E11" s="7" t="inlineStr">
        <is>
          <t>Good signature。</t>
        </is>
      </c>
      <c r="F11" s="7" t="inlineStr">
        <is>
          <t>SHA512 だけでも改ざん検知の最低限にはなる、と配布ページは説明している。署名の方が強い。</t>
        </is>
      </c>
      <c r="G11" s="7" t="inlineStr"/>
    </row>
    <row r="12" ht="44" customHeight="1">
      <c r="A12" s="8" t="inlineStr">
        <is>
          <t>6</t>
        </is>
      </c>
      <c r="B12" s="8" t="inlineStr">
        <is>
          <t>エクスプローラ</t>
        </is>
      </c>
      <c r="C12" s="8" t="inlineStr">
        <is>
          <t>ダウンロードした zip を右クリック → プロパティ。下に「許可する」があればオンにして OK。</t>
        </is>
      </c>
      <c r="D12" s="8" t="inlineStr">
        <is>
          <t>ブロック解除</t>
        </is>
      </c>
      <c r="E12" s="8" t="inlineStr">
        <is>
          <t>後で jar がブロックされて起動に失敗しにくい。</t>
        </is>
      </c>
      <c r="F12" s="8" t="inlineStr">
        <is>
          <t>中のファイルを一つずつ解除しなくてよいよう、展開前に zip を解除する。</t>
        </is>
      </c>
      <c r="G12" s="8" t="inlineStr"/>
    </row>
    <row r="14" ht="22" customHeight="1">
      <c r="A14" s="14" t="inlineStr">
        <is>
          <t>IMG-06    画像差し込み枠    公式ダウンロードページの Binaries 行</t>
        </is>
      </c>
      <c r="B14" s="14" t="n"/>
      <c r="C14" s="14" t="n"/>
      <c r="D14" s="14" t="n"/>
      <c r="E14" s="14" t="n"/>
      <c r="F14" s="14" t="n"/>
      <c r="G14" s="14" t="n"/>
    </row>
    <row r="15" ht="148" customHeight="1">
      <c r="A1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zip をクリックする直前。
画角: Apache JMeter 5.6.3、Binaries、zip、sha512 が 1 画面に入る。広告や別ツールのダウンロードボタンが混ざっていないこと。
文章は図の下に隠れてもよい。どの図かは 32_画像台帳 の IMG-06 を見る。</t>
        </is>
      </c>
      <c r="B15" s="15" t="n"/>
      <c r="C15" s="15" t="n"/>
      <c r="D15" s="15" t="n"/>
      <c r="E15" s="15" t="n"/>
      <c r="F15" s="15" t="n"/>
      <c r="G15" s="15" t="n"/>
    </row>
    <row r="16" ht="32" customHeight="1">
      <c r="A16" s="18" t="inlineStr">
        <is>
          <t>Linux サーバには、同じバージョンの apache-jmeter-5.6.3.tgz（または同じ zip）を別に取る。端末で展開したフォルダを丸ごとコピーしてもよい。その場合もバージョン番号のフォルダ名を変えない。18 でサーバ側を扱う。</t>
        </is>
      </c>
      <c r="B16" s="18" t="n"/>
      <c r="C16" s="18" t="n"/>
      <c r="D16" s="18" t="n"/>
      <c r="E16" s="18" t="n"/>
      <c r="F16" s="18" t="n"/>
      <c r="G16" s="18" t="n"/>
    </row>
  </sheetData>
  <mergeCells count="8">
    <mergeCell ref="A14:G14"/>
    <mergeCell ref="A1:G1"/>
    <mergeCell ref="A3:G3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5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Windows 11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zip を空白の無いフォルダへ展開して起動する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公式の Getting Started は、パスに空白があると特にクライアント／サーバモードで問題になると書いている。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エクスプローラ</t>
        </is>
      </c>
      <c r="C7" s="7" t="inlineStr">
        <is>
          <t>展開先のフォルダを作る。</t>
        </is>
      </c>
      <c r="D7" s="7" t="inlineStr">
        <is>
          <t>C:\Tools</t>
        </is>
      </c>
      <c r="E7" s="7" t="inlineStr">
        <is>
          <t>C:\Tools が見える。</t>
        </is>
      </c>
      <c r="F7" s="7" t="inlineStr">
        <is>
          <t>C:\Program Files、デスクトップ、OneDrive、日本語のフォルダには置かない。</t>
        </is>
      </c>
      <c r="G7" s="7" t="inlineStr"/>
    </row>
    <row r="8" ht="44" customHeight="1">
      <c r="A8" s="8" t="inlineStr">
        <is>
          <t>2</t>
        </is>
      </c>
      <c r="B8" s="8" t="inlineStr">
        <is>
          <t>zip</t>
        </is>
      </c>
      <c r="C8" s="8" t="inlineStr">
        <is>
          <t>apache-jmeter-5.6.3.zip を C:\Tools に展開する。</t>
        </is>
      </c>
      <c r="D8" s="8" t="inlineStr">
        <is>
          <t>右クリック → すべて展開、または Expand-Archive。</t>
        </is>
      </c>
      <c r="E8" s="8" t="inlineStr">
        <is>
          <t>C:\Tools\apache-jmeter-5.6.3\bin がある。</t>
        </is>
      </c>
      <c r="F8" s="8" t="inlineStr">
        <is>
          <t>bin の中にさらに apache-jmeter-5.6.3 が入れ子になっていたら、一段間違えている。</t>
        </is>
      </c>
      <c r="G8" s="8" t="inlineStr">
        <is>
          <t>下の枠</t>
        </is>
      </c>
    </row>
    <row r="9" ht="44" customHeight="1">
      <c r="A9" s="7" t="inlineStr">
        <is>
          <t>3</t>
        </is>
      </c>
      <c r="B9" s="7" t="inlineStr">
        <is>
          <t>bin フォルダ</t>
        </is>
      </c>
      <c r="C9" s="7" t="inlineStr">
        <is>
          <t>次の名前があることを目で見る。</t>
        </is>
      </c>
      <c r="D9" s="7" t="inlineStr">
        <is>
          <t>jmeter.bat / jmeterw.cmd / jmeter-server.bat / shutdown.cmd / stoptest.cmd / user.properties / jmeter.properties</t>
        </is>
      </c>
      <c r="E9" s="7" t="inlineStr">
        <is>
          <t>jmeter.bat がある。</t>
        </is>
      </c>
      <c r="F9" s="7" t="inlineStr">
        <is>
          <t>jmeter.properties をこの時点で編集しない。追記は user.properties。</t>
        </is>
      </c>
      <c r="G9" s="7" t="inlineStr"/>
    </row>
    <row r="10" ht="44" customHeight="1">
      <c r="A10" s="8" t="inlineStr">
        <is>
          <t>4</t>
        </is>
      </c>
      <c r="B10" s="8" t="inlineStr">
        <is>
          <t>bin</t>
        </is>
      </c>
      <c r="C10" s="8" t="inlineStr">
        <is>
          <t>jmeter.bat をダブルクリックする。</t>
        </is>
      </c>
      <c r="D10" s="8" t="inlineStr">
        <is>
          <t>黒い窓が残り、しばらくして JMeter の窓が開く。</t>
        </is>
      </c>
      <c r="E10" s="8" t="inlineStr">
        <is>
          <t>左にテスト計画、上にメニュー。</t>
        </is>
      </c>
      <c r="F10" s="8" t="inlineStr">
        <is>
          <t>黒い窓が一瞬で閉じるときは Java が無い。05 へ戻る。窓を閉じると JMeter も終わる。</t>
        </is>
      </c>
      <c r="G10" s="8" t="inlineStr">
        <is>
          <t>下の枠</t>
        </is>
      </c>
    </row>
    <row r="11" ht="32" customHeight="1">
      <c r="A11" s="7" t="inlineStr">
        <is>
          <t>5</t>
        </is>
      </c>
      <c r="B11" s="7" t="inlineStr">
        <is>
          <t>開いた GUI</t>
        </is>
      </c>
      <c r="C11" s="7" t="inlineStr">
        <is>
          <t>バージョンを見る。</t>
        </is>
      </c>
      <c r="D11" s="7" t="inlineStr">
        <is>
          <t>メニュー ヘルプ（Help）→ About Apache JMeter</t>
        </is>
      </c>
      <c r="E11" s="7" t="inlineStr">
        <is>
          <t>Version 5.6.3 と出る。</t>
        </is>
      </c>
      <c r="F11" s="7" t="inlineStr">
        <is>
          <t>5.6.3 でないフォルダを後から PATH に混ぜない。</t>
        </is>
      </c>
      <c r="G11" s="7" t="inlineStr"/>
    </row>
    <row r="12" ht="44" customHeight="1">
      <c r="A12" s="8" t="inlineStr">
        <is>
          <t>6</t>
        </is>
      </c>
      <c r="B12" s="8" t="inlineStr">
        <is>
          <t>一度閉じる</t>
        </is>
      </c>
      <c r="C12" s="8" t="inlineStr">
        <is>
          <t>ファイル → 終了。黒い窓も閉じる。</t>
        </is>
      </c>
      <c r="D12" s="8" t="inlineStr">
        <is>
          <t>保存を聞かれたら、まだシナリオが無いので保存しない。</t>
        </is>
      </c>
      <c r="E12" s="8" t="inlineStr">
        <is>
          <t>プロセスが残っていない。</t>
        </is>
      </c>
      <c r="F12" s="8" t="inlineStr">
        <is>
          <t>jmeterw.cmd はコンソールが無く、起動失敗の原因が見えない。調査中は jmeter.bat。</t>
        </is>
      </c>
      <c r="G12" s="8" t="inlineStr"/>
    </row>
    <row r="14" ht="22" customHeight="1">
      <c r="A14" s="14" t="inlineStr">
        <is>
          <t>IMG-07    画像差し込み枠    展開後の bin フォルダ</t>
        </is>
      </c>
      <c r="B14" s="14" t="n"/>
      <c r="C14" s="14" t="n"/>
      <c r="D14" s="14" t="n"/>
      <c r="E14" s="14" t="n"/>
      <c r="F14" s="14" t="n"/>
      <c r="G14" s="14" t="n"/>
    </row>
    <row r="15" ht="148" customHeight="1">
      <c r="A1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jmeter.bat を押す直前。
画角: アドレスバーに C:\Tools\apache-jmeter-5.6.3\bin と、jmeter.bat が見える。
文章は図の下に隠れてもよい。どの図かは 32_画像台帳 の IMG-07 を見る。</t>
        </is>
      </c>
      <c r="B15" s="15" t="n"/>
      <c r="C15" s="15" t="n"/>
      <c r="D15" s="15" t="n"/>
      <c r="E15" s="15" t="n"/>
      <c r="F15" s="15" t="n"/>
      <c r="G15" s="15" t="n"/>
    </row>
    <row r="16" ht="22" customHeight="1">
      <c r="A16" s="14" t="inlineStr">
        <is>
          <t>IMG-08    画像差し込み枠    起動直後の JMeter 全体</t>
        </is>
      </c>
      <c r="B16" s="14" t="n"/>
      <c r="C16" s="14" t="n"/>
      <c r="D16" s="14" t="n"/>
      <c r="E16" s="14" t="n"/>
      <c r="F16" s="14" t="n"/>
      <c r="G16" s="14" t="n"/>
    </row>
    <row r="17" ht="148" customHeight="1">
      <c r="A1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初回起動でテスト計画だけがある状態。
画角: メニューバー、左のツリー、右のテスト計画の説明、右上の開始ボタン（緑の三角）が入る。
文章は図の下に隠れてもよい。どの図かは 32_画像台帳 の IMG-08 を見る。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5" t="inlineStr">
        <is>
          <t>フォルダの意味（公式の構成）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6" t="inlineStr">
        <is>
          <t>フォルダ</t>
        </is>
      </c>
      <c r="B19" s="6" t="inlineStr">
        <is>
          <t>役割</t>
        </is>
      </c>
      <c r="C19" s="6" t="inlineStr">
        <is>
          <t>触るか</t>
        </is>
      </c>
      <c r="D19" s="6" t="inlineStr">
        <is>
          <t>置くもの</t>
        </is>
      </c>
      <c r="E19" s="6" t="inlineStr">
        <is>
          <t>置いてはいけないもの</t>
        </is>
      </c>
      <c r="F19" s="6" t="inlineStr"/>
      <c r="G19" s="6" t="inlineStr"/>
    </row>
    <row r="20" ht="32" customHeight="1">
      <c r="A20" s="7" t="inlineStr">
        <is>
          <t>bin</t>
        </is>
      </c>
      <c r="B20" s="7" t="inlineStr">
        <is>
          <t>起動スクリプトと設定</t>
        </is>
      </c>
      <c r="C20" s="7" t="inlineStr">
        <is>
          <t>setenv.bat を新規作成。user.properties の末尾に追記。</t>
        </is>
      </c>
      <c r="D20" s="7" t="inlineStr">
        <is>
          <t>setenv.bat</t>
        </is>
      </c>
      <c r="E20" s="7" t="inlineStr">
        <is>
          <t>シナリオの jmx。結果の jtl。</t>
        </is>
      </c>
      <c r="F20" s="7" t="inlineStr"/>
      <c r="G20" s="7" t="inlineStr"/>
    </row>
    <row r="21" ht="32" customHeight="1">
      <c r="A21" s="8" t="inlineStr">
        <is>
          <t>lib</t>
        </is>
      </c>
      <c r="B21" s="8" t="inlineStr">
        <is>
          <t>補助の jar</t>
        </is>
      </c>
      <c r="C21" s="8" t="inlineStr">
        <is>
          <t>JDBC ドライバなどが必要なときだけ。</t>
        </is>
      </c>
      <c r="D21" s="8" t="inlineStr">
        <is>
          <t>ドライバの jar</t>
        </is>
      </c>
      <c r="E21" s="8" t="inlineStr">
        <is>
          <t>自作のサンプラー。</t>
        </is>
      </c>
      <c r="F21" s="8" t="inlineStr"/>
      <c r="G21" s="8" t="inlineStr"/>
    </row>
    <row r="22" ht="32" customHeight="1">
      <c r="A22" s="7" t="inlineStr">
        <is>
          <t>lib/ext</t>
        </is>
      </c>
      <c r="B22" s="7" t="inlineStr">
        <is>
          <t>JMeter の部品とプラグイン</t>
        </is>
      </c>
      <c r="C22" s="7" t="inlineStr">
        <is>
          <t>Plugins Manager を使うときだけ jar を置く。</t>
        </is>
      </c>
      <c r="D22" s="7" t="inlineStr">
        <is>
          <t>プラグインの jar</t>
        </is>
      </c>
      <c r="E22" s="7" t="inlineStr">
        <is>
          <t>ただのライブラリ jar。公式は lib と lib/ext を分けている。</t>
        </is>
      </c>
      <c r="F22" s="7" t="inlineStr"/>
      <c r="G22" s="7" t="inlineStr"/>
    </row>
    <row r="23" ht="22" customHeight="1">
      <c r="A23" s="8" t="inlineStr">
        <is>
          <t>docs ほか</t>
        </is>
      </c>
      <c r="B23" s="8" t="inlineStr">
        <is>
          <t>説明とライセンス</t>
        </is>
      </c>
      <c r="C23" s="8" t="inlineStr">
        <is>
          <t>読まなくてよい。消さない。</t>
        </is>
      </c>
      <c r="D23" s="8" t="inlineStr">
        <is>
          <t>なし</t>
        </is>
      </c>
      <c r="E23" s="8" t="inlineStr">
        <is>
          <t>業務ファイル</t>
        </is>
      </c>
      <c r="F23" s="8" t="inlineStr"/>
      <c r="G23" s="8" t="inlineStr"/>
    </row>
    <row r="25" ht="28" customHeight="1">
      <c r="A25" s="18" t="inlineStr">
        <is>
          <t>環境変数 CLASSPATH を足しても JMeter は見ない。公式には、java -jar で起動するため CLASSPATH は無視されると書いてある。jar の追加は lib か lib/ext に置く。</t>
        </is>
      </c>
      <c r="B25" s="18" t="n"/>
      <c r="C25" s="18" t="n"/>
      <c r="D25" s="18" t="n"/>
      <c r="E25" s="18" t="n"/>
      <c r="F25" s="18" t="n"/>
      <c r="G25" s="18" t="n"/>
    </row>
  </sheetData>
  <mergeCells count="11">
    <mergeCell ref="A14:G14"/>
    <mergeCell ref="A1:G1"/>
    <mergeCell ref="A17:G17"/>
    <mergeCell ref="A18:G18"/>
    <mergeCell ref="A3:G3"/>
    <mergeCell ref="A4:G4"/>
    <mergeCell ref="A2:G2"/>
    <mergeCell ref="A16:G16"/>
    <mergeCell ref="A15:G15"/>
    <mergeCell ref="A25:G2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7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Windows 11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日本語表示、メモリ、結果 CSV を先に固定する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jmeter.bat と jmeter.properties はアップグレードで置き換わる。自分の設定は setenv.bat と user.properties に書く。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bin</t>
        </is>
      </c>
      <c r="C7" s="7" t="inlineStr">
        <is>
          <t>メモ帳で新規ファイルを作り、31_設定の写し の setenv.bat を貼る。</t>
        </is>
      </c>
      <c r="D7" s="7" t="inlineStr">
        <is>
          <t>ファイル名 setenv.bat 。文字コード UTF-8 でよい。</t>
        </is>
      </c>
      <c r="E7" s="7" t="inlineStr">
        <is>
          <t>bin\setenv.bat が jmeter.bat と並ぶ。</t>
        </is>
      </c>
      <c r="F7" s="7" t="inlineStr">
        <is>
          <t>setenv.bat.txt という名前になっていないか、拡張子を表示して確認する。</t>
        </is>
      </c>
      <c r="G7" s="7" t="inlineStr">
        <is>
          <t>下の枠</t>
        </is>
      </c>
    </row>
    <row r="8" ht="56" customHeight="1">
      <c r="A8" s="8" t="inlineStr">
        <is>
          <t>2</t>
        </is>
      </c>
      <c r="B8" s="8" t="inlineStr">
        <is>
          <t>bin\user.properties</t>
        </is>
      </c>
      <c r="C8" s="8" t="inlineStr">
        <is>
          <t>メモ帳で開く。既にあるコメントは消さない。末尾に 31 の user.properties 追記分を貼る。</t>
        </is>
      </c>
      <c r="D8" s="8" t="inlineStr">
        <is>
          <t>timestamp の書式と、reportgenerator.date_format を同じ文字列にする。</t>
        </is>
      </c>
      <c r="E8" s="8" t="inlineStr">
        <is>
          <t>2 行が対で入っている。</t>
        </is>
      </c>
      <c r="F8" s="8" t="inlineStr">
        <is>
          <t>jmeter.properties の同じキーを直接変えない。公式は user.properties へコピーして変える、と書いている。</t>
        </is>
      </c>
      <c r="G8" s="8" t="inlineStr">
        <is>
          <t>下の枠</t>
        </is>
      </c>
    </row>
    <row r="9" ht="32" customHeight="1">
      <c r="A9" s="7" t="inlineStr">
        <is>
          <t>3</t>
        </is>
      </c>
      <c r="B9" s="7" t="inlineStr">
        <is>
          <t>保存</t>
        </is>
      </c>
      <c r="C9" s="7" t="inlineStr">
        <is>
          <t>user.properties を上書き保存してメモ帳を閉じる。</t>
        </is>
      </c>
      <c r="D9" s="7" t="inlineStr">
        <is>
          <t>UTF-8。</t>
        </is>
      </c>
      <c r="E9" s="7" t="inlineStr">
        <is>
          <t>JMeter を起動し直すと設定を読む。起動中の変更は読まない。</t>
        </is>
      </c>
      <c r="F9" s="7" t="inlineStr">
        <is>
          <t>片側だけ日付書式を変えると、HTML レポートの時刻がずれる。</t>
        </is>
      </c>
      <c r="G9" s="7" t="inlineStr"/>
    </row>
    <row r="10" ht="44" customHeight="1">
      <c r="A10" s="8" t="inlineStr">
        <is>
          <t>4</t>
        </is>
      </c>
      <c r="B10" s="8" t="inlineStr">
        <is>
          <t>起動</t>
        </is>
      </c>
      <c r="C10" s="8" t="inlineStr">
        <is>
          <t>jmeter.bat を起動する。</t>
        </is>
      </c>
      <c r="D10" s="8" t="inlineStr">
        <is>
          <t>メニューが日本語（ファイル、編集、検索、実行、オプション、ヘルプ）。</t>
        </is>
      </c>
      <c r="E10" s="8" t="inlineStr">
        <is>
          <t>ファイル メニューが読める。</t>
        </is>
      </c>
      <c r="F10" s="8" t="inlineStr">
        <is>
          <t>英語のままなら setenv.bat が読まれていない。ファイル名と場所を見る。</t>
        </is>
      </c>
      <c r="G10" s="8" t="inlineStr"/>
    </row>
    <row r="11" ht="32" customHeight="1">
      <c r="A11" s="7" t="inlineStr">
        <is>
          <t>5</t>
        </is>
      </c>
      <c r="B11" s="7" t="inlineStr">
        <is>
          <t>オプション → Look and Feel</t>
        </is>
      </c>
      <c r="C11" s="7" t="inlineStr">
        <is>
          <t>文字が小さいときは変更できる。必須ではない。</t>
        </is>
      </c>
      <c r="D11" s="7" t="inlineStr">
        <is>
          <t>既定のままでよい。</t>
        </is>
      </c>
      <c r="E11" s="7" t="inlineStr">
        <is>
          <t>ツリーの文字が読める。</t>
        </is>
      </c>
      <c r="F11" s="7" t="inlineStr">
        <is>
          <t>見た目の変更を手順の成否と混同しない。</t>
        </is>
      </c>
      <c r="G11" s="7" t="inlineStr"/>
    </row>
    <row r="13" ht="22" customHeight="1">
      <c r="A13" s="14" t="inlineStr">
        <is>
          <t>IMG-09    画像差し込み枠    setenv.bat をメモ帳で開いた全体</t>
        </is>
      </c>
      <c r="B13" s="14" t="n"/>
      <c r="C13" s="14" t="n"/>
      <c r="D13" s="14" t="n"/>
      <c r="E13" s="14" t="n"/>
      <c r="F13" s="14" t="n"/>
      <c r="G13" s="14" t="n"/>
    </row>
    <row r="14" ht="148" customHeight="1">
      <c r="A1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保存する直前。
画角: HEAP と JMETER_LANGUAGE の 2 つの set が見える。個人のユーザ名は写さない。
文章は図の下に隠れてもよい。どの図かは 32_画像台帳 の IMG-09 を見る。</t>
        </is>
      </c>
      <c r="B14" s="15" t="n"/>
      <c r="C14" s="15" t="n"/>
      <c r="D14" s="15" t="n"/>
      <c r="E14" s="15" t="n"/>
      <c r="F14" s="15" t="n"/>
      <c r="G14" s="15" t="n"/>
    </row>
    <row r="15" ht="22" customHeight="1">
      <c r="A15" s="14" t="inlineStr">
        <is>
          <t>IMG-10    画像差し込み枠    user.properties 末尾の追記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保存する直前。
画角: timestamp_format と date_format の 2 行が同じ書式で並んでいるところを囲む。
文章は図の下に隠れてもよい。どの図かは 32_画像台帳 の IMG-10 を見る。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5" t="inlineStr">
        <is>
          <t>この設定で決まること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設定</t>
        </is>
      </c>
      <c r="B18" s="6" t="inlineStr">
        <is>
          <t>値</t>
        </is>
      </c>
      <c r="C18" s="6" t="inlineStr">
        <is>
          <t>理由</t>
        </is>
      </c>
      <c r="D18" s="6" t="inlineStr">
        <is>
          <t>変えてよい場面</t>
        </is>
      </c>
      <c r="E18" s="6" t="inlineStr">
        <is>
          <t>変えると壊れること</t>
        </is>
      </c>
      <c r="F18" s="6" t="inlineStr"/>
      <c r="G18" s="6" t="inlineStr"/>
    </row>
    <row r="19" ht="44" customHeight="1">
      <c r="A19" s="7" t="inlineStr">
        <is>
          <t>HEAP</t>
        </is>
      </c>
      <c r="B19" s="7" t="inlineStr">
        <is>
          <t>-Xms1g -Xmx2g</t>
        </is>
      </c>
      <c r="C19" s="7" t="inlineStr">
        <is>
          <t>既定は 1g/1g。GUI で結果ツリーを開くと 1g では足りなくなることがある。</t>
        </is>
      </c>
      <c r="D19" s="7" t="inlineStr">
        <is>
          <t>複数の大規模シナリオを同時に開くなら 4g まで。物理メモリの半分を超えない。</t>
        </is>
      </c>
      <c r="E19" s="7" t="inlineStr">
        <is>
          <t>大きすぎると PC 全体がスワップする。</t>
        </is>
      </c>
      <c r="F19" s="7" t="inlineStr"/>
      <c r="G19" s="7" t="inlineStr"/>
    </row>
    <row r="20" ht="32" customHeight="1">
      <c r="A20" s="8" t="inlineStr">
        <is>
          <t>言語</t>
        </is>
      </c>
      <c r="B20" s="8" t="inlineStr">
        <is>
          <t>ja / JP</t>
        </is>
      </c>
      <c r="C20" s="8" t="inlineStr">
        <is>
          <t>メニューをこの手順書と揃える。</t>
        </is>
      </c>
      <c r="D20" s="8" t="inlineStr">
        <is>
          <t>英語のまま運用するチームは set 行を書かない。</t>
        </is>
      </c>
      <c r="E20" s="8" t="inlineStr">
        <is>
          <t>言語と手順書のメニュー名がずれるだけ。動作は同じ。</t>
        </is>
      </c>
      <c r="F20" s="8" t="inlineStr"/>
      <c r="G20" s="8" t="inlineStr"/>
    </row>
    <row r="21" ht="32" customHeight="1">
      <c r="A21" s="7" t="inlineStr">
        <is>
          <t>output_format</t>
        </is>
      </c>
      <c r="B21" s="7" t="inlineStr">
        <is>
          <t>csv</t>
        </is>
      </c>
      <c r="C21" s="7" t="inlineStr">
        <is>
          <t>Excel が読める。HTML レポートも CSV を読む。</t>
        </is>
      </c>
      <c r="D21" s="7" t="inlineStr">
        <is>
          <t>xml はレスポンス本文の調査のときだけ、別実行で。</t>
        </is>
      </c>
      <c r="E21" s="7" t="inlineStr">
        <is>
          <t>xml の巨大ファイルを Excel で開こうとして失敗する。</t>
        </is>
      </c>
      <c r="F21" s="7" t="inlineStr"/>
      <c r="G21" s="7" t="inlineStr"/>
    </row>
    <row r="22" ht="44" customHeight="1">
      <c r="A22" s="8" t="inlineStr">
        <is>
          <t>timestamp_format</t>
        </is>
      </c>
      <c r="B22" s="8" t="inlineStr">
        <is>
          <t>yyyy/MM/dd HH:mm:ss.SSS</t>
        </is>
      </c>
      <c r="C22" s="8" t="inlineStr">
        <is>
          <t>Excel で日時として読める。</t>
        </is>
      </c>
      <c r="D22" s="8" t="inlineStr">
        <is>
          <t>ms（エポック）のままにするなら date_format も ms の扱いに戻す。公式の既定は ms。</t>
        </is>
      </c>
      <c r="E22" s="8" t="inlineStr">
        <is>
          <t>date_format と不一致だとダッシュボードの時間軸がずれる。</t>
        </is>
      </c>
      <c r="F22" s="8" t="inlineStr"/>
      <c r="G22" s="8" t="inlineStr"/>
    </row>
    <row r="23" ht="32" customHeight="1">
      <c r="A23" s="7" t="inlineStr">
        <is>
          <t>response_data</t>
        </is>
      </c>
      <c r="B23" s="7" t="inlineStr">
        <is>
          <t>false</t>
        </is>
      </c>
      <c r="C23" s="7" t="inlineStr">
        <is>
          <t>応答本文を jtl に残さない。個人情報とディスクを守る。</t>
        </is>
      </c>
      <c r="D23" s="7" t="inlineStr">
        <is>
          <t>障害解析で 1 回だけ on_error を検討する。ルールに従う。</t>
        </is>
      </c>
      <c r="E23" s="7" t="inlineStr">
        <is>
          <t>本文が入った jtl をメールで配ってしまう。</t>
        </is>
      </c>
      <c r="F23" s="7" t="inlineStr"/>
      <c r="G23" s="7" t="inlineStr"/>
    </row>
    <row r="24" ht="32" customHeight="1">
      <c r="A24" s="8" t="inlineStr">
        <is>
          <t>summariser.interval</t>
        </is>
      </c>
      <c r="B24" s="8" t="inlineStr">
        <is>
          <t>30</t>
        </is>
      </c>
      <c r="C24" s="8" t="inlineStr">
        <is>
          <t>コンソールに 30 秒ごとの summary が出る。</t>
        </is>
      </c>
      <c r="D24" s="8" t="inlineStr">
        <is>
          <t>短い試験なら 10。長くしすぎると異常に気づくのが遅れる。</t>
        </is>
      </c>
      <c r="E24" s="8" t="inlineStr">
        <is>
          <t>0 に近いとログばかりで試験の邪魔になる。</t>
        </is>
      </c>
      <c r="F24" s="8" t="inlineStr"/>
      <c r="G24" s="8" t="inlineStr"/>
    </row>
    <row r="25" ht="32" customHeight="1">
      <c r="A25" s="7" t="inlineStr">
        <is>
          <t>APDEX 閾値</t>
        </is>
      </c>
      <c r="B25" s="7" t="inlineStr">
        <is>
          <t>満足 500ms、許容 1500ms</t>
        </is>
      </c>
      <c r="C25" s="7" t="inlineStr">
        <is>
          <t>HTML レポートの APDEX 用。公式の既定値。</t>
        </is>
      </c>
      <c r="D25" s="7" t="inlineStr">
        <is>
          <t>取引ごとの契約があるなら reportgenerator.apdex_per_transaction で上書き。</t>
        </is>
      </c>
      <c r="E25" s="7" t="inlineStr">
        <is>
          <t>APDEX を合格基準そのものだと思って報告する。</t>
        </is>
      </c>
      <c r="F25" s="7" t="inlineStr"/>
      <c r="G25" s="7" t="inlineStr"/>
    </row>
    <row r="27" ht="32" customHeight="1">
      <c r="A27" s="18" t="inlineStr">
        <is>
          <t>Linux 側にも同じ user.properties の追記を入れる。ヒープ用は setenv.sh（31 に全文）。言語設定はサーバの CLI には不要。タイムゾーンは setenv.sh の TZ=Asia/Tokyo で、ログの時刻を端末と揃える。</t>
        </is>
      </c>
      <c r="B27" s="18" t="n"/>
      <c r="C27" s="18" t="n"/>
      <c r="D27" s="18" t="n"/>
      <c r="E27" s="18" t="n"/>
      <c r="F27" s="18" t="n"/>
      <c r="G27" s="18" t="n"/>
    </row>
  </sheetData>
  <mergeCells count="11">
    <mergeCell ref="A13:G13"/>
    <mergeCell ref="A14:G14"/>
    <mergeCell ref="A1:G1"/>
    <mergeCell ref="A17:G17"/>
    <mergeCell ref="A27:G27"/>
    <mergeCell ref="A3:G3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1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GUI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窓のどこを触るかを先に覚える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負荷試験のボタンも同じ窓にある。押してよいボタンと、後で無効にするものを分ける。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場所</t>
        </is>
      </c>
      <c r="B6" s="6" t="inlineStr">
        <is>
          <t>名前</t>
        </is>
      </c>
      <c r="C6" s="6" t="inlineStr">
        <is>
          <t>何のため</t>
        </is>
      </c>
      <c r="D6" s="6" t="inlineStr">
        <is>
          <t>初心者が押すとき</t>
        </is>
      </c>
      <c r="E6" s="6" t="inlineStr">
        <is>
          <t>まだ押さないもの</t>
        </is>
      </c>
      <c r="F6" s="6" t="inlineStr"/>
      <c r="G6" s="6" t="inlineStr"/>
    </row>
    <row r="7" ht="56" customHeight="1">
      <c r="A7" s="7" t="inlineStr">
        <is>
          <t>一番上</t>
        </is>
      </c>
      <c r="B7" s="7" t="inlineStr">
        <is>
          <t>メニューバー</t>
        </is>
      </c>
      <c r="C7" s="7" t="inlineStr">
        <is>
          <t>保存、実行、言語、HTML レポート生成。</t>
        </is>
      </c>
      <c r="D7" s="7" t="inlineStr">
        <is>
          <t>ファイル、実行、オプション。</t>
        </is>
      </c>
      <c r="E7" s="7" t="inlineStr">
        <is>
          <t>実行 → 開始 を、シナリオが空のまま押しても害は小さい。人数を書いたあとに無確認で押さない。</t>
        </is>
      </c>
      <c r="F7" s="7" t="inlineStr"/>
      <c r="G7" s="7" t="inlineStr"/>
    </row>
    <row r="8" ht="32" customHeight="1">
      <c r="A8" s="8" t="inlineStr">
        <is>
          <t>メニューの下</t>
        </is>
      </c>
      <c r="B8" s="8" t="inlineStr">
        <is>
          <t>ツールバー</t>
        </is>
      </c>
      <c r="C8" s="8" t="inlineStr">
        <is>
          <t>新規、テンプレート、開く、保存、開始、停止。</t>
        </is>
      </c>
      <c r="D8" s="8" t="inlineStr">
        <is>
          <t>緑の三角は 14 で、スレッド 1 のときだけ。</t>
        </is>
      </c>
      <c r="E8" s="8" t="inlineStr">
        <is>
          <t>赤い停止を、開始前に連打しない。</t>
        </is>
      </c>
      <c r="F8" s="8" t="inlineStr"/>
      <c r="G8" s="8" t="inlineStr"/>
    </row>
    <row r="9" ht="32" customHeight="1">
      <c r="A9" s="7" t="inlineStr">
        <is>
          <t>左</t>
        </is>
      </c>
      <c r="B9" s="7" t="inlineStr">
        <is>
          <t>テスト計画ツリー</t>
        </is>
      </c>
      <c r="C9" s="7" t="inlineStr">
        <is>
          <t>要素の親子。上が先に処理される、というより親子のスコープで効く。</t>
        </is>
      </c>
      <c r="D9" s="7" t="inlineStr">
        <is>
          <t>右クリックで追加。</t>
        </is>
      </c>
      <c r="E9" s="7" t="inlineStr">
        <is>
          <t>ルートのテスト計画を削除しようとしない。消せない。</t>
        </is>
      </c>
      <c r="F9" s="7" t="inlineStr"/>
      <c r="G9" s="7" t="inlineStr"/>
    </row>
    <row r="10" ht="32" customHeight="1">
      <c r="A10" s="8" t="inlineStr">
        <is>
          <t>右</t>
        </is>
      </c>
      <c r="B10" s="8" t="inlineStr">
        <is>
          <t>要素の詳細</t>
        </is>
      </c>
      <c r="C10" s="8" t="inlineStr">
        <is>
          <t>選んだ要素の入力欄。</t>
        </is>
      </c>
      <c r="D10" s="8" t="inlineStr">
        <is>
          <t>名前を先に変える。</t>
        </is>
      </c>
      <c r="E10" s="8" t="inlineStr">
        <is>
          <t>コメント欄にパスワードを書かない。jmx に残る。</t>
        </is>
      </c>
      <c r="F10" s="8" t="inlineStr"/>
      <c r="G10" s="8" t="inlineStr"/>
    </row>
    <row r="11" ht="22" customHeight="1">
      <c r="A11" s="7" t="inlineStr">
        <is>
          <t>右上付近</t>
        </is>
      </c>
      <c r="B11" s="7" t="inlineStr">
        <is>
          <t>開始（緑）</t>
        </is>
      </c>
      <c r="C11" s="7" t="inlineStr">
        <is>
          <t>書いたスレッド数どおりに動かす。</t>
        </is>
      </c>
      <c r="D11" s="7" t="inlineStr">
        <is>
          <t>14 の手順どおり。</t>
        </is>
      </c>
      <c r="E11" s="7" t="inlineStr">
        <is>
          <t>本試験の人数のまま押さない。</t>
        </is>
      </c>
      <c r="F11" s="7" t="inlineStr"/>
      <c r="G11" s="7" t="inlineStr"/>
    </row>
    <row r="12" ht="44" customHeight="1">
      <c r="A12" s="8" t="inlineStr">
        <is>
          <t>右上付近</t>
        </is>
      </c>
      <c r="B12" s="8" t="inlineStr">
        <is>
          <t>停止（赤）とシャットダウン</t>
        </is>
      </c>
      <c r="C12" s="8" t="inlineStr">
        <is>
          <t>停止は強い中断。シャットダウンは今のサンプルを終えて止める。</t>
        </is>
      </c>
      <c r="D12" s="8" t="inlineStr">
        <is>
          <t>暴走したデバッグを止める。</t>
        </is>
      </c>
      <c r="E12" s="8" t="inlineStr">
        <is>
          <t>結果が欲しい試験を、いきなり赤い停止で切らない。可能ならシャットダウン。</t>
        </is>
      </c>
      <c r="F12" s="8" t="inlineStr"/>
      <c r="G12" s="8" t="inlineStr"/>
    </row>
    <row r="13" ht="32" customHeight="1">
      <c r="A13" s="7" t="inlineStr">
        <is>
          <t>メニュー 実行</t>
        </is>
      </c>
      <c r="B13" s="7" t="inlineStr">
        <is>
          <t>全て消去（Ctrl+Shift+E）</t>
        </is>
      </c>
      <c r="C13" s="7" t="inlineStr">
        <is>
          <t>画面上のリスナーの表示を消す。jmx は消えない。</t>
        </is>
      </c>
      <c r="D13" s="7" t="inlineStr">
        <is>
          <t>デバッグのやり直しの前。</t>
        </is>
      </c>
      <c r="E13" s="7" t="inlineStr">
        <is>
          <t>jmx の保存と混同しない。</t>
        </is>
      </c>
      <c r="F13" s="7" t="inlineStr"/>
      <c r="G13" s="7" t="inlineStr"/>
    </row>
    <row r="14" ht="32" customHeight="1">
      <c r="A14" s="8" t="inlineStr">
        <is>
          <t>メニュー ファイル</t>
        </is>
      </c>
      <c r="B14" s="8" t="inlineStr">
        <is>
          <t>テスト計画に名前をつけて保存</t>
        </is>
      </c>
      <c r="C14" s="8" t="inlineStr">
        <is>
          <t>jmx を書く。</t>
        </is>
      </c>
      <c r="D14" s="8" t="inlineStr">
        <is>
          <t>区切りのよいところで毎回。</t>
        </is>
      </c>
      <c r="E14" s="8" t="inlineStr">
        <is>
          <t>bin フォルダへ保存しない。</t>
        </is>
      </c>
      <c r="F14" s="8" t="inlineStr"/>
      <c r="G14" s="8" t="inlineStr"/>
    </row>
    <row r="16" ht="22" customHeight="1">
      <c r="A16" s="14" t="inlineStr">
        <is>
          <t>IMG-11    画像差し込み枠    画面各部の名称を書き込んだ全体図</t>
        </is>
      </c>
      <c r="B16" s="14" t="n"/>
      <c r="C16" s="14" t="n"/>
      <c r="D16" s="14" t="n"/>
      <c r="E16" s="14" t="n"/>
      <c r="F16" s="14" t="n"/>
      <c r="G16" s="14" t="n"/>
    </row>
    <row r="17" ht="148" customHeight="1">
      <c r="A1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起動直後。要素を足す前でも、足したあとでもよい。
画角: メニュー、ツールバーの緑の三角、左ツリー、右の詳細、の 4 つに引き出し線があると後から読んで分かる。
文章は図の下に隠れてもよい。どの図かは 32_画像台帳 の IMG-11 を見る。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5" t="inlineStr">
        <is>
          <t>ツリーの読み方</t>
        </is>
      </c>
      <c r="B18" s="5" t="n"/>
      <c r="C18" s="5" t="n"/>
      <c r="D18" s="5" t="n"/>
      <c r="E18" s="5" t="n"/>
      <c r="F18" s="5" t="n"/>
      <c r="G18" s="5" t="n"/>
    </row>
    <row r="19" ht="44" customHeight="1">
      <c r="A19" s="18" t="inlineStr">
        <is>
          <t>子要素は親の範囲に効く。テスト計画の直下に置いた HTTP リクエスト初期値は、配下の全部の HTTP リクエストに効く。あるリクエストだけヘッダを変えたいときは、そのリクエストの子に HTTP ヘッダマネージャを置く。同じ種類が親子の両方にあると、子が上書きする項目と、両方が足される項目がある。ヘッダはマージされる。初期値のホストは、リクエスト側が空のときだけ使われる。迷ったら、ホストは初期値だけに書き、各リクエストのサーバ名は空にする。</t>
        </is>
      </c>
      <c r="B19" s="18" t="n"/>
      <c r="C19" s="18" t="n"/>
      <c r="D19" s="18" t="n"/>
      <c r="E19" s="18" t="n"/>
      <c r="F19" s="18" t="n"/>
      <c r="G19" s="18" t="n"/>
    </row>
    <row r="20" ht="24" customHeight="1">
      <c r="A20" s="5" t="inlineStr">
        <is>
          <t>実行順（1 回のリクエストの中）</t>
        </is>
      </c>
      <c r="B20" s="5" t="n"/>
      <c r="C20" s="5" t="n"/>
      <c r="D20" s="5" t="n"/>
      <c r="E20" s="5" t="n"/>
      <c r="F20" s="5" t="n"/>
      <c r="G20" s="5" t="n"/>
    </row>
    <row r="21" ht="32" customHeight="1">
      <c r="A21" s="18" t="inlineStr">
        <is>
          <t>公式の要素の実行順は次のとおり。1) 設定エレメント  2) 前処理  3) タイマ  4) サンプラー  5) 後処理  6) アサーション  7) リスナー。タイマはリクエストの前に待つ。ログインの後に待ちを入れたいなら、タイマをログインの子には置かず、次の業務リクエスト側のスコープに置く。アサーションが失敗すると、そのサンプルは success=false になり、エラー率に入る。</t>
        </is>
      </c>
      <c r="B21" s="18" t="n"/>
      <c r="C21" s="18" t="n"/>
      <c r="D21" s="18" t="n"/>
      <c r="E21" s="18" t="n"/>
      <c r="F21" s="18" t="n"/>
      <c r="G21" s="18" t="n"/>
    </row>
  </sheetData>
  <mergeCells count="11">
    <mergeCell ref="A1:G1"/>
    <mergeCell ref="A17:G17"/>
    <mergeCell ref="A18:G18"/>
    <mergeCell ref="A3:G3"/>
    <mergeCell ref="A21:G21"/>
    <mergeCell ref="A4:G4"/>
    <mergeCell ref="A20:G20"/>
    <mergeCell ref="A2:G2"/>
    <mergeCell ref="A16:G16"/>
    <mergeCell ref="A19:G19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31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GUI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要素は右クリックの「追加」から足す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メニューの階層は、言語が違っても同じ位置にある。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左のツリー</t>
        </is>
      </c>
      <c r="C7" s="7" t="inlineStr">
        <is>
          <t>親にしたい要素を右クリックする。テスト計画から始める。</t>
        </is>
      </c>
      <c r="D7" s="7" t="inlineStr">
        <is>
          <t>追加（Add）を開く。</t>
        </is>
      </c>
      <c r="E7" s="7" t="inlineStr">
        <is>
          <t>分類の一覧が出る。</t>
        </is>
      </c>
      <c r="F7" s="7" t="inlineStr">
        <is>
          <t>詳細画面のボタンを探して追加しようとしない。追加はツリーの右クリック。</t>
        </is>
      </c>
      <c r="G7" s="7" t="inlineStr">
        <is>
          <t>下の枠</t>
        </is>
      </c>
    </row>
    <row r="8" ht="56" customHeight="1">
      <c r="A8" s="8" t="inlineStr">
        <is>
          <t>2</t>
        </is>
      </c>
      <c r="B8" s="8" t="inlineStr">
        <is>
          <t>追加</t>
        </is>
      </c>
      <c r="C8" s="8" t="inlineStr">
        <is>
          <t>分類を選ぶ。</t>
        </is>
      </c>
      <c r="D8" s="8" t="inlineStr">
        <is>
          <t>スレッド（ユーザー）（Threads (Users)）。</t>
        </is>
      </c>
      <c r="E8" s="8" t="inlineStr">
        <is>
          <t>スレッドグループが見える。</t>
        </is>
      </c>
      <c r="F8" s="8" t="inlineStr">
        <is>
          <t>サンプラーをテスト計画の直下に足そうとすると、スレッドが無くて実行時に動かない。必ずスレッドグループの中。</t>
        </is>
      </c>
      <c r="G8" s="8" t="inlineStr"/>
    </row>
    <row r="9" ht="32" customHeight="1">
      <c r="A9" s="7" t="inlineStr">
        <is>
          <t>3</t>
        </is>
      </c>
      <c r="B9" s="7" t="inlineStr">
        <is>
          <t>分類の中</t>
        </is>
      </c>
      <c r="C9" s="7" t="inlineStr">
        <is>
          <t>名前をクリックする。</t>
        </is>
      </c>
      <c r="D9" s="7" t="inlineStr">
        <is>
          <t>スレッドグループ（Thread Group）。</t>
        </is>
      </c>
      <c r="E9" s="7" t="inlineStr">
        <is>
          <t>左のツリーにぶら下がる。右に入力欄が出る。</t>
        </is>
      </c>
      <c r="F9" s="7" t="inlineStr">
        <is>
          <t>足した直後の名前は英語や汎用名のまま。すぐ名前を変える。</t>
        </is>
      </c>
      <c r="G9" s="7" t="inlineStr"/>
    </row>
    <row r="10" ht="32" customHeight="1">
      <c r="A10" s="8" t="inlineStr">
        <is>
          <t>4</t>
        </is>
      </c>
      <c r="B10" s="8" t="inlineStr">
        <is>
          <t>名前</t>
        </is>
      </c>
      <c r="C10" s="8" t="inlineStr">
        <is>
          <t>右の画面の一番上の名前を変える。</t>
        </is>
      </c>
      <c r="D10" s="8" t="inlineStr">
        <is>
          <t>例: TG_注文検索</t>
        </is>
      </c>
      <c r="E10" s="8" t="inlineStr">
        <is>
          <t>ツリーの表示が変わる。</t>
        </is>
      </c>
      <c r="F10" s="8" t="inlineStr">
        <is>
          <t>スラッシュや絵文字は避ける。報告の表にそのまま出る。</t>
        </is>
      </c>
      <c r="G10" s="8" t="inlineStr"/>
    </row>
    <row r="11" ht="32" customHeight="1">
      <c r="A11" s="7" t="inlineStr">
        <is>
          <t>5</t>
        </is>
      </c>
      <c r="B11" s="7" t="inlineStr">
        <is>
          <t>無効と有効</t>
        </is>
      </c>
      <c r="C11" s="7" t="inlineStr">
        <is>
          <t>デバッグ用リスナーは、負荷の前に右クリック → 無効（Disable）。</t>
        </is>
      </c>
      <c r="D11" s="7" t="inlineStr">
        <is>
          <t>名前がグレーになり、アイコンに印が付く。</t>
        </is>
      </c>
      <c r="E11" s="7" t="inlineStr">
        <is>
          <t>jmx には残るが実行されない。</t>
        </is>
      </c>
      <c r="F11" s="7" t="inlineStr">
        <is>
          <t>削除と無効を間違えない。無効なら後で有効に戻せる。</t>
        </is>
      </c>
      <c r="G11" s="7" t="inlineStr"/>
    </row>
    <row r="12" ht="44" customHeight="1">
      <c r="A12" s="8" t="inlineStr">
        <is>
          <t>6</t>
        </is>
      </c>
      <c r="B12" s="8" t="inlineStr">
        <is>
          <t>順番</t>
        </is>
      </c>
      <c r="C12" s="8" t="inlineStr">
        <is>
          <t>同じ親の中で、上から処理されるコントローラがある。ドラッグで並べ替える。</t>
        </is>
      </c>
      <c r="D12" s="8" t="inlineStr">
        <is>
          <t>ログインを検索より上にする。</t>
        </is>
      </c>
      <c r="E12" s="8" t="inlineStr">
        <is>
          <t>見た目の順と実行順が一致する。</t>
        </is>
      </c>
      <c r="F12" s="8" t="inlineStr">
        <is>
          <t>タイマを意図しない位置へ落とすと、全部のリクエストの前に待ちが入る。</t>
        </is>
      </c>
      <c r="G12" s="8" t="inlineStr"/>
    </row>
    <row r="13" ht="32" customHeight="1">
      <c r="A13" s="7" t="inlineStr">
        <is>
          <t>7</t>
        </is>
      </c>
      <c r="B13" s="7" t="inlineStr">
        <is>
          <t>複製</t>
        </is>
      </c>
      <c r="C13" s="7" t="inlineStr">
        <is>
          <t>右クリック → コピー → 貼り付け、で同じリクエストを増やせる。</t>
        </is>
      </c>
      <c r="D13" s="7" t="inlineStr">
        <is>
          <t>名前を必ず変える。</t>
        </is>
      </c>
      <c r="E13" s="7" t="inlineStr">
        <is>
          <t>統計が名前ごとに分かれる。</t>
        </is>
      </c>
      <c r="F13" s="7" t="inlineStr">
        <is>
          <t>同じ名前が二つあると、レポートで 1 行に合算される。</t>
        </is>
      </c>
      <c r="G13" s="7" t="inlineStr"/>
    </row>
    <row r="15" ht="22" customHeight="1">
      <c r="A15" s="14" t="inlineStr">
        <is>
          <t>IMG-12    画像差し込み枠    右クリックメニューの「追加」が開いているところ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テスト計画を右クリックした直後。
画角: 追加、の中に スレッド（ユーザー）、設定エレメント、リスナー が見える。
文章は図の下に隠れてもよい。どの図かは 32_画像台帳 の IMG-12 を見る。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5" t="inlineStr">
        <is>
          <t>追加メニューの分類（日本語）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メニュー</t>
        </is>
      </c>
      <c r="B18" s="6" t="inlineStr">
        <is>
          <t>英語</t>
        </is>
      </c>
      <c r="C18" s="6" t="inlineStr">
        <is>
          <t>中に入っているもの</t>
        </is>
      </c>
      <c r="D18" s="6" t="inlineStr">
        <is>
          <t>最初に使うもの</t>
        </is>
      </c>
      <c r="E18" s="6" t="inlineStr">
        <is>
          <t>後回し</t>
        </is>
      </c>
      <c r="F18" s="6" t="inlineStr"/>
      <c r="G18" s="6" t="inlineStr"/>
    </row>
    <row r="19" ht="32" customHeight="1">
      <c r="A19" s="7" t="inlineStr">
        <is>
          <t>スレッド（ユーザー）</t>
        </is>
      </c>
      <c r="B19" s="7" t="inlineStr">
        <is>
          <t>Threads (Users)</t>
        </is>
      </c>
      <c r="C19" s="7" t="inlineStr">
        <is>
          <t>スレッドグループ、setUp、tearDown</t>
        </is>
      </c>
      <c r="D19" s="7" t="inlineStr">
        <is>
          <t>スレッドグループ</t>
        </is>
      </c>
      <c r="E19" s="7" t="inlineStr">
        <is>
          <t>Open Model Thread Group</t>
        </is>
      </c>
      <c r="F19" s="7" t="inlineStr"/>
      <c r="G19" s="7" t="inlineStr"/>
    </row>
    <row r="20" ht="32" customHeight="1">
      <c r="A20" s="8" t="inlineStr">
        <is>
          <t>設定エレメント</t>
        </is>
      </c>
      <c r="B20" s="8" t="inlineStr">
        <is>
          <t>Config Element</t>
        </is>
      </c>
      <c r="C20" s="8" t="inlineStr">
        <is>
          <t>初期値、ヘッダ、クッキー、CSV</t>
        </is>
      </c>
      <c r="D20" s="8" t="inlineStr">
        <is>
          <t>HTTP リクエスト初期値、CSV</t>
        </is>
      </c>
      <c r="E20" s="8" t="inlineStr">
        <is>
          <t>DNS Cache、鍵ストア</t>
        </is>
      </c>
      <c r="F20" s="8" t="inlineStr"/>
      <c r="G20" s="8" t="inlineStr"/>
    </row>
    <row r="21" ht="22" customHeight="1">
      <c r="A21" s="7" t="inlineStr">
        <is>
          <t>サンプラー</t>
        </is>
      </c>
      <c r="B21" s="7" t="inlineStr">
        <is>
          <t>Sampler</t>
        </is>
      </c>
      <c r="C21" s="7" t="inlineStr">
        <is>
          <t>実際のリクエスト</t>
        </is>
      </c>
      <c r="D21" s="7" t="inlineStr">
        <is>
          <t>HTTP リクエスト</t>
        </is>
      </c>
      <c r="E21" s="7" t="inlineStr">
        <is>
          <t>JDBC、Java リクエスト</t>
        </is>
      </c>
      <c r="F21" s="7" t="inlineStr"/>
      <c r="G21" s="7" t="inlineStr"/>
    </row>
    <row r="22" ht="32" customHeight="1">
      <c r="A22" s="8" t="inlineStr">
        <is>
          <t>ロジックコントローラ</t>
        </is>
      </c>
      <c r="B22" s="8" t="inlineStr">
        <is>
          <t>Logic Controller</t>
        </is>
      </c>
      <c r="C22" s="8" t="inlineStr">
        <is>
          <t>まとまり、分岐、繰り返し</t>
        </is>
      </c>
      <c r="D22" s="8" t="inlineStr">
        <is>
          <t>トランザクション、一度だけ</t>
        </is>
      </c>
      <c r="E22" s="8" t="inlineStr">
        <is>
          <t>もしコントローラ、乱数</t>
        </is>
      </c>
      <c r="F22" s="8" t="inlineStr"/>
      <c r="G22" s="8" t="inlineStr"/>
    </row>
    <row r="23" ht="22" customHeight="1">
      <c r="A23" s="7" t="inlineStr">
        <is>
          <t>前処理</t>
        </is>
      </c>
      <c r="B23" s="7" t="inlineStr">
        <is>
          <t>Pre Processors</t>
        </is>
      </c>
      <c r="C23" s="7" t="inlineStr">
        <is>
          <t>リクエスト前の加工</t>
        </is>
      </c>
      <c r="D23" s="7" t="inlineStr">
        <is>
          <t>最初は無し</t>
        </is>
      </c>
      <c r="E23" s="7" t="inlineStr">
        <is>
          <t>JSR223</t>
        </is>
      </c>
      <c r="F23" s="7" t="inlineStr"/>
      <c r="G23" s="7" t="inlineStr"/>
    </row>
    <row r="24" ht="22" customHeight="1">
      <c r="A24" s="8" t="inlineStr">
        <is>
          <t>後処理</t>
        </is>
      </c>
      <c r="B24" s="8" t="inlineStr">
        <is>
          <t>Post Processors</t>
        </is>
      </c>
      <c r="C24" s="8" t="inlineStr">
        <is>
          <t>応答から値を抜く</t>
        </is>
      </c>
      <c r="D24" s="8" t="inlineStr">
        <is>
          <t>JSON Extractor、正規表現抽出</t>
        </is>
      </c>
      <c r="E24" s="8" t="inlineStr">
        <is>
          <t>JDBC 後処理</t>
        </is>
      </c>
      <c r="F24" s="8" t="inlineStr"/>
      <c r="G24" s="8" t="inlineStr"/>
    </row>
    <row r="25" ht="22" customHeight="1">
      <c r="A25" s="7" t="inlineStr">
        <is>
          <t>アサーション</t>
        </is>
      </c>
      <c r="B25" s="7" t="inlineStr">
        <is>
          <t>Assertions</t>
        </is>
      </c>
      <c r="C25" s="7" t="inlineStr">
        <is>
          <t>成否の検査</t>
        </is>
      </c>
      <c r="D25" s="7" t="inlineStr">
        <is>
          <t>応答アサーション</t>
        </is>
      </c>
      <c r="E25" s="7" t="inlineStr">
        <is>
          <t>持続時間アサーション</t>
        </is>
      </c>
      <c r="F25" s="7" t="inlineStr"/>
      <c r="G25" s="7" t="inlineStr"/>
    </row>
    <row r="26" ht="22" customHeight="1">
      <c r="A26" s="8" t="inlineStr">
        <is>
          <t>タイマ</t>
        </is>
      </c>
      <c r="B26" s="8" t="inlineStr">
        <is>
          <t>Timer</t>
        </is>
      </c>
      <c r="C26" s="8" t="inlineStr">
        <is>
          <t>待ち</t>
        </is>
      </c>
      <c r="D26" s="8" t="inlineStr">
        <is>
          <t>一様乱数タイマ</t>
        </is>
      </c>
      <c r="E26" s="8" t="inlineStr">
        <is>
          <t>定数スループットタイマ</t>
        </is>
      </c>
      <c r="F26" s="8" t="inlineStr"/>
      <c r="G26" s="8" t="inlineStr"/>
    </row>
    <row r="27" ht="22" customHeight="1">
      <c r="A27" s="7" t="inlineStr">
        <is>
          <t>リスナー</t>
        </is>
      </c>
      <c r="B27" s="7" t="inlineStr">
        <is>
          <t>Listener</t>
        </is>
      </c>
      <c r="C27" s="7" t="inlineStr">
        <is>
          <t>結果の見え方</t>
        </is>
      </c>
      <c r="D27" s="7" t="inlineStr">
        <is>
          <t>結果をツリーで表示（後で無効）</t>
        </is>
      </c>
      <c r="E27" s="7" t="inlineStr">
        <is>
          <t>グラフ系全般</t>
        </is>
      </c>
      <c r="F27" s="7" t="inlineStr"/>
      <c r="G27" s="7" t="inlineStr"/>
    </row>
    <row r="28" ht="32" customHeight="1">
      <c r="A28" s="8" t="inlineStr">
        <is>
          <t>Non-Testエレメント</t>
        </is>
      </c>
      <c r="B28" s="8" t="inlineStr">
        <is>
          <t>Non-Test Elements</t>
        </is>
      </c>
      <c r="C28" s="8" t="inlineStr">
        <is>
          <t>録音など、試験の木に属さないもの</t>
        </is>
      </c>
      <c r="D28" s="8" t="inlineStr">
        <is>
          <t>録音するときだけ Recorder</t>
        </is>
      </c>
      <c r="E28" s="8" t="inlineStr">
        <is>
          <t>プロキシと試験リクエスト用プロキシの取り違え</t>
        </is>
      </c>
      <c r="F28" s="8" t="inlineStr"/>
      <c r="G28" s="8" t="inlineStr"/>
    </row>
    <row r="30" ht="24" customHeight="1">
      <c r="A30" s="5" t="inlineStr">
        <is>
          <t>標準に無い機能を足すとき</t>
        </is>
      </c>
      <c r="B30" s="5" t="n"/>
      <c r="C30" s="5" t="n"/>
      <c r="D30" s="5" t="n"/>
      <c r="E30" s="5" t="n"/>
      <c r="F30" s="5" t="n"/>
      <c r="G30" s="5" t="n"/>
    </row>
    <row r="31" ht="32" customHeight="1">
      <c r="A31" s="18" t="inlineStr">
        <is>
          <t>Apache JMeter 本体に無い要素（Ultimate Thread Group など）は、サードパーティの Plugins Manager で入る。入れる手順は 11 の末尾。原則は、標準のスレッドグループとスケジューラで足りるあいだは入れない。入れた jar は、GUI の端末と Linux の lib/ext の両方に同じファイルを置く。片方にしか無いと、CLI は jmx を読んだ瞬間に失敗する。</t>
        </is>
      </c>
      <c r="B31" s="18" t="n"/>
      <c r="C31" s="18" t="n"/>
      <c r="D31" s="18" t="n"/>
      <c r="E31" s="18" t="n"/>
      <c r="F31" s="18" t="n"/>
      <c r="G31" s="18" t="n"/>
    </row>
  </sheetData>
  <mergeCells count="10">
    <mergeCell ref="A1:G1"/>
    <mergeCell ref="A17:G17"/>
    <mergeCell ref="A31:G31"/>
    <mergeCell ref="A3:G3"/>
    <mergeCell ref="A4:G4"/>
    <mergeCell ref="A30:G30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56"/>
  <sheetViews>
    <sheetView showGridLines="0" showZeros="1" view="normal" zoomScale="100" workbookViewId="0">
      <pane ySplit="7" topLeftCell="A8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機能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何を、どこに、負荷試験でどう扱うか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追加はすべて、親を右クリック → 追加。英語のままの名前は英語で探す。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20" t="inlineStr">
        <is>
          <t>この表はフィルタできる。分類の列で「リスナー」だけに絞ると、負荷の前に無効にするものが一覧になる。</t>
        </is>
      </c>
      <c r="B6" s="20" t="n"/>
      <c r="C6" s="20" t="n"/>
      <c r="D6" s="20" t="n"/>
      <c r="E6" s="20" t="n"/>
      <c r="F6" s="20" t="n"/>
      <c r="G6" s="20" t="n"/>
    </row>
    <row r="7" ht="28" customHeight="1">
      <c r="A7" s="6" t="inlineStr">
        <is>
          <t>分類</t>
        </is>
      </c>
      <c r="B7" s="6" t="inlineStr">
        <is>
          <t>画面の名前</t>
        </is>
      </c>
      <c r="C7" s="6" t="inlineStr">
        <is>
          <t>英語名</t>
        </is>
      </c>
      <c r="D7" s="6" t="inlineStr">
        <is>
          <t>親と追加メニュー</t>
        </is>
      </c>
      <c r="E7" s="6" t="inlineStr">
        <is>
          <t>役割</t>
        </is>
      </c>
      <c r="F7" s="6" t="inlineStr">
        <is>
          <t>最初に入れる値</t>
        </is>
      </c>
      <c r="G7" s="6" t="inlineStr">
        <is>
          <t>負荷試験での扱い</t>
        </is>
      </c>
    </row>
    <row r="8" ht="32" customHeight="1">
      <c r="A8" s="7" t="inlineStr">
        <is>
          <t>計画</t>
        </is>
      </c>
      <c r="B8" s="7" t="inlineStr">
        <is>
          <t>テスト計画</t>
        </is>
      </c>
      <c r="C8" s="7" t="inlineStr">
        <is>
          <t>Test Plan</t>
        </is>
      </c>
      <c r="D8" s="7" t="inlineStr">
        <is>
          <t>起動したときからある</t>
        </is>
      </c>
      <c r="E8" s="7" t="inlineStr">
        <is>
          <t>シナリオ全体の名前と、共通の変数を置く場所。</t>
        </is>
      </c>
      <c r="F8" s="7" t="inlineStr">
        <is>
          <t>名前を業務名にする。</t>
        </is>
      </c>
      <c r="G8" s="7" t="inlineStr">
        <is>
          <t>消さない。ユーザ定義変数を直下に置いてよい。</t>
        </is>
      </c>
    </row>
    <row r="9" ht="44" customHeight="1">
      <c r="A9" s="8" t="inlineStr">
        <is>
          <t>スレッド</t>
        </is>
      </c>
      <c r="B9" s="8" t="inlineStr">
        <is>
          <t>スレッドグループ</t>
        </is>
      </c>
      <c r="C9" s="8" t="inlineStr">
        <is>
          <t>Thread Group</t>
        </is>
      </c>
      <c r="D9" s="8" t="inlineStr">
        <is>
          <t>テスト計画 → 追加 → スレッド（ユーザー）</t>
        </is>
      </c>
      <c r="E9" s="8" t="inlineStr">
        <is>
          <t>仮想ユーザの人数、起動の速さ、繰り返し、持続時間。</t>
        </is>
      </c>
      <c r="F9" s="8" t="inlineStr">
        <is>
          <t>人数 ${__P(threads,1)}、Ramp-Up ${__P(ramp,1)}、ループ無限、スケジューラの持続 ${__P(duration,60)}。</t>
        </is>
      </c>
      <c r="G9" s="8" t="inlineStr">
        <is>
          <t>GUI ではプロパティを渡さないので 1 人・1 秒・60 秒になる。CLI の -J で増やす。</t>
        </is>
      </c>
    </row>
    <row r="10" ht="32" customHeight="1">
      <c r="A10" s="7" t="inlineStr">
        <is>
          <t>スレッド</t>
        </is>
      </c>
      <c r="B10" s="7" t="inlineStr">
        <is>
          <t>setUp スレッドグループ</t>
        </is>
      </c>
      <c r="C10" s="7" t="inlineStr">
        <is>
          <t>setUp Thread Group</t>
        </is>
      </c>
      <c r="D10" s="7" t="inlineStr">
        <is>
          <t>テスト計画 → 追加 → スレッド（ユーザー）</t>
        </is>
      </c>
      <c r="E10" s="7" t="inlineStr">
        <is>
          <t>本番スレッドの前に 1 回だけ走る準備。</t>
        </is>
      </c>
      <c r="F10" s="7" t="inlineStr">
        <is>
          <t>データの事前投入が必要なときだけ。</t>
        </is>
      </c>
      <c r="G10" s="7" t="inlineStr">
        <is>
          <t>毎回重い準備を入れると、試験時間の意味が変わる。</t>
        </is>
      </c>
    </row>
    <row r="11" ht="32" customHeight="1">
      <c r="A11" s="8" t="inlineStr">
        <is>
          <t>スレッド</t>
        </is>
      </c>
      <c r="B11" s="8" t="inlineStr">
        <is>
          <t>tearDown スレッドグループ</t>
        </is>
      </c>
      <c r="C11" s="8" t="inlineStr">
        <is>
          <t>tearDown Thread Group</t>
        </is>
      </c>
      <c r="D11" s="8" t="inlineStr">
        <is>
          <t>同上</t>
        </is>
      </c>
      <c r="E11" s="8" t="inlineStr">
        <is>
          <t>本番のあとに 1 回だけ走る後始末。</t>
        </is>
      </c>
      <c r="F11" s="8" t="inlineStr">
        <is>
          <t>ログアウトやテストデータ削除。</t>
        </is>
      </c>
      <c r="G11" s="8" t="inlineStr">
        <is>
          <t>失敗しても結果 jtl の本体と混ぜて判断しない。</t>
        </is>
      </c>
    </row>
    <row r="12" ht="44" customHeight="1">
      <c r="A12" s="7" t="inlineStr">
        <is>
          <t>コントローラ</t>
        </is>
      </c>
      <c r="B12" s="7" t="inlineStr">
        <is>
          <t>トランザクションコントローラ</t>
        </is>
      </c>
      <c r="C12" s="7" t="inlineStr">
        <is>
          <t>Transaction Controller</t>
        </is>
      </c>
      <c r="D12" s="7" t="inlineStr">
        <is>
          <t>スレッドグループ → 追加 → ロジックコントローラ</t>
        </is>
      </c>
      <c r="E12" s="7" t="inlineStr">
        <is>
          <t>複数の HTTP を 1 つの業務操作として束ねる。</t>
        </is>
      </c>
      <c r="F12" s="7" t="inlineStr">
        <is>
          <t>名前は TX_検索 のように業務名。Generate parent sample はオフ（公式ダッシュボードの既定の勧め）。</t>
        </is>
      </c>
      <c r="G12" s="7" t="inlineStr">
        <is>
          <t>報告の 1 行にしたい名前をここに付ける。</t>
        </is>
      </c>
    </row>
    <row r="13" ht="32" customHeight="1">
      <c r="A13" s="8" t="inlineStr">
        <is>
          <t>コントローラ</t>
        </is>
      </c>
      <c r="B13" s="8" t="inlineStr">
        <is>
          <t>一度だけ実行されるコントローラ</t>
        </is>
      </c>
      <c r="C13" s="8" t="inlineStr">
        <is>
          <t>Once Only Controller</t>
        </is>
      </c>
      <c r="D13" s="8" t="inlineStr">
        <is>
          <t>スレッドグループ → 追加 → ロジックコントローラ</t>
        </is>
      </c>
      <c r="E13" s="8" t="inlineStr">
        <is>
          <t>そのスレッドの最初の周だけ実行する。ログイン向き。</t>
        </is>
      </c>
      <c r="F13" s="8" t="inlineStr">
        <is>
          <t>中にログインの HTTP リクエストを置く。</t>
        </is>
      </c>
      <c r="G13" s="8" t="inlineStr">
        <is>
          <t>ループのたびにログインしたいときは、この中に入れない。</t>
        </is>
      </c>
    </row>
    <row r="14" ht="32" customHeight="1">
      <c r="A14" s="7" t="inlineStr">
        <is>
          <t>コントローラ</t>
        </is>
      </c>
      <c r="B14" s="7" t="inlineStr">
        <is>
          <t>ループコントローラ</t>
        </is>
      </c>
      <c r="C14" s="7" t="inlineStr">
        <is>
          <t>Loop Controller</t>
        </is>
      </c>
      <c r="D14" s="7" t="inlineStr">
        <is>
          <t>同上</t>
        </is>
      </c>
      <c r="E14" s="7" t="inlineStr">
        <is>
          <t>中だけを繰り返す。</t>
        </is>
      </c>
      <c r="F14" s="7" t="inlineStr">
        <is>
          <t>最初は使わない。スレッドグループのループで足りる。</t>
        </is>
      </c>
      <c r="G14" s="7" t="inlineStr">
        <is>
          <t>二重ループは回数が読みにくくなる。</t>
        </is>
      </c>
    </row>
    <row r="15" ht="32" customHeight="1">
      <c r="A15" s="8" t="inlineStr">
        <is>
          <t>コントローラ</t>
        </is>
      </c>
      <c r="B15" s="8" t="inlineStr">
        <is>
          <t>シンプルコントローラ</t>
        </is>
      </c>
      <c r="C15" s="8" t="inlineStr">
        <is>
          <t>Simple Controller</t>
        </is>
      </c>
      <c r="D15" s="8" t="inlineStr">
        <is>
          <t>同上</t>
        </is>
      </c>
      <c r="E15" s="8" t="inlineStr">
        <is>
          <t>フォルダ。処理は変えず、ツリーを見やすくする。</t>
        </is>
      </c>
      <c r="F15" s="8" t="inlineStr">
        <is>
          <t>名前だけ付ける。</t>
        </is>
      </c>
      <c r="G15" s="8" t="inlineStr">
        <is>
          <t>名前は jtl に出ない。統計の名前にはならない。</t>
        </is>
      </c>
    </row>
    <row r="16" ht="32" customHeight="1">
      <c r="A16" s="7" t="inlineStr">
        <is>
          <t>コントローラ</t>
        </is>
      </c>
      <c r="B16" s="7" t="inlineStr">
        <is>
          <t>もしコントローラ</t>
        </is>
      </c>
      <c r="C16" s="7" t="inlineStr">
        <is>
          <t>If Controller</t>
        </is>
      </c>
      <c r="D16" s="7" t="inlineStr">
        <is>
          <t>同上</t>
        </is>
      </c>
      <c r="E16" s="7" t="inlineStr">
        <is>
          <t>条件が真のときだけ子を実行する。</t>
        </is>
      </c>
      <c r="F16" s="7" t="inlineStr">
        <is>
          <t>最初のシナリオでは使わない。</t>
        </is>
      </c>
      <c r="G16" s="7" t="inlineStr">
        <is>
          <t>条件式の誤りで全件スキップしても、エラーにならないことがある。</t>
        </is>
      </c>
    </row>
    <row r="17" ht="44" customHeight="1">
      <c r="A17" s="8" t="inlineStr">
        <is>
          <t>設定</t>
        </is>
      </c>
      <c r="B17" s="8" t="inlineStr">
        <is>
          <t>HTTPリクエスト初期値</t>
        </is>
      </c>
      <c r="C17" s="8" t="inlineStr">
        <is>
          <t>HTTP Request Defaults</t>
        </is>
      </c>
      <c r="D17" s="8" t="inlineStr">
        <is>
          <t>テスト計画またはスレッドグループ → 追加 → 設定エレメント</t>
        </is>
      </c>
      <c r="E17" s="8" t="inlineStr">
        <is>
          <t>プロトコル、ホスト、ポートを共通にする。</t>
        </is>
      </c>
      <c r="F17" s="8" t="inlineStr">
        <is>
          <t>https、ホスト名、443。各リクエスト側のサーバ名は空。</t>
        </is>
      </c>
      <c r="G17" s="8" t="inlineStr">
        <is>
          <t>画面の名前が「HTTP Request Defaults」のままのことがある。英語で探す。</t>
        </is>
      </c>
    </row>
    <row r="18" ht="32" customHeight="1">
      <c r="A18" s="7" t="inlineStr">
        <is>
          <t>設定</t>
        </is>
      </c>
      <c r="B18" s="7" t="inlineStr">
        <is>
          <t>HTTPヘッダマネージャ</t>
        </is>
      </c>
      <c r="C18" s="7" t="inlineStr">
        <is>
          <t>HTTP Header Manager</t>
        </is>
      </c>
      <c r="D18" s="7" t="inlineStr">
        <is>
          <t>同上</t>
        </is>
      </c>
      <c r="E18" s="7" t="inlineStr">
        <is>
          <t>Content-Type や Authorization を付ける。</t>
        </is>
      </c>
      <c r="F18" s="7" t="inlineStr">
        <is>
          <t>Content-Type: application/json</t>
        </is>
      </c>
      <c r="G18" s="7" t="inlineStr">
        <is>
          <t>子に置くと、そのリクエストだけ追加のヘッダが乗る。</t>
        </is>
      </c>
    </row>
    <row r="19" ht="32" customHeight="1">
      <c r="A19" s="8" t="inlineStr">
        <is>
          <t>設定</t>
        </is>
      </c>
      <c r="B19" s="8" t="inlineStr">
        <is>
          <t>HTTPクッキーマネージャ</t>
        </is>
      </c>
      <c r="C19" s="8" t="inlineStr">
        <is>
          <t>HTTP Cookie Manager</t>
        </is>
      </c>
      <c r="D19" s="8" t="inlineStr">
        <is>
          <t>スレッドグループ → 追加 → 設定エレメント</t>
        </is>
      </c>
      <c r="E19" s="8" t="inlineStr">
        <is>
          <t>Cookie をスレッドごとに保持する。</t>
        </is>
      </c>
      <c r="F19" s="8" t="inlineStr">
        <is>
          <t>追加するだけで、初期は空でよい。</t>
        </is>
      </c>
      <c r="G19" s="8" t="inlineStr">
        <is>
          <t>ログインセッションを Cookie で維持するサイトでは必須。</t>
        </is>
      </c>
    </row>
    <row r="20" ht="44" customHeight="1">
      <c r="A20" s="7" t="inlineStr">
        <is>
          <t>設定</t>
        </is>
      </c>
      <c r="B20" s="7" t="inlineStr">
        <is>
          <t>HTTPキャッシュマネージャ</t>
        </is>
      </c>
      <c r="C20" s="7" t="inlineStr">
        <is>
          <t>HTTP Cache Manager</t>
        </is>
      </c>
      <c r="D20" s="7" t="inlineStr">
        <is>
          <t>同上</t>
        </is>
      </c>
      <c r="E20" s="7" t="inlineStr">
        <is>
          <t>ブラウザのキャッシュの真似。</t>
        </is>
      </c>
      <c r="F20" s="7" t="inlineStr">
        <is>
          <t>API の負荷試験では追加しない。</t>
        </is>
      </c>
      <c r="G20" s="7" t="inlineStr">
        <is>
          <t>キャッシュが乗ると、サーバに届かないリクエストが増え、負荷を過小評価する。</t>
        </is>
      </c>
    </row>
    <row r="21" ht="44" customHeight="1">
      <c r="A21" s="8" t="inlineStr">
        <is>
          <t>設定</t>
        </is>
      </c>
      <c r="B21" s="8" t="inlineStr">
        <is>
          <t>CSV Data Set Config</t>
        </is>
      </c>
      <c r="C21" s="8" t="inlineStr">
        <is>
          <t>CSV Data Set Config</t>
        </is>
      </c>
      <c r="D21" s="8" t="inlineStr">
        <is>
          <t>スレッドグループ → 追加 → 設定エレメント</t>
        </is>
      </c>
      <c r="E21" s="8" t="inlineStr">
        <is>
          <t>CSV の 1 行を、スレッドの変数にする。</t>
        </is>
      </c>
      <c r="F21" s="8" t="inlineStr">
        <is>
          <t>ファイル名は jmx からの相対。共有は All threads。1 行目は列名。</t>
        </is>
      </c>
      <c r="G21" s="8" t="inlineStr">
        <is>
          <t>文字コードを UTF-8 にする。Excel の BOM 付きで先頭列が読めないことがある。</t>
        </is>
      </c>
    </row>
    <row r="22" ht="44" customHeight="1">
      <c r="A22" s="7" t="inlineStr">
        <is>
          <t>設定</t>
        </is>
      </c>
      <c r="B22" s="7" t="inlineStr">
        <is>
          <t>ユーザー定義変数</t>
        </is>
      </c>
      <c r="C22" s="7" t="inlineStr">
        <is>
          <t>User Defined Variables</t>
        </is>
      </c>
      <c r="D22" s="7" t="inlineStr">
        <is>
          <t>テスト計画 → 追加 → 設定エレメント</t>
        </is>
      </c>
      <c r="E22" s="7" t="inlineStr">
        <is>
          <t>全スレッド共通の定数。</t>
        </is>
      </c>
      <c r="F22" s="7" t="inlineStr">
        <is>
          <t>ホスト名をここに置くこともある。ただし CLI で変えたい値はプロパティ ${__P} にする。</t>
        </is>
      </c>
      <c r="G22" s="7" t="inlineStr">
        <is>
          <t>スレッドごとに違うユーザ ID をここに書かない。CSV を使う。</t>
        </is>
      </c>
    </row>
    <row r="23" ht="44" customHeight="1">
      <c r="A23" s="8" t="inlineStr">
        <is>
          <t>設定</t>
        </is>
      </c>
      <c r="B23" s="8" t="inlineStr">
        <is>
          <t>カウンタ</t>
        </is>
      </c>
      <c r="C23" s="8" t="inlineStr">
        <is>
          <t>Counter</t>
        </is>
      </c>
      <c r="D23" s="8" t="inlineStr">
        <is>
          <t>設定エレメント</t>
        </is>
      </c>
      <c r="E23" s="8" t="inlineStr">
        <is>
          <t>スレッドをまたいで増える番号。</t>
        </is>
      </c>
      <c r="F23" s="8" t="inlineStr">
        <is>
          <t>一意の注文番号が必要なとき。</t>
        </is>
      </c>
      <c r="G23" s="8" t="inlineStr">
        <is>
          <t>再実行で同じ番号から始まると、相手サーバが重複エラーにする。開始値の決め方をレポートに書く。</t>
        </is>
      </c>
    </row>
    <row r="24" ht="44" customHeight="1">
      <c r="A24" s="7" t="inlineStr">
        <is>
          <t>サンプラー</t>
        </is>
      </c>
      <c r="B24" s="7" t="inlineStr">
        <is>
          <t>HTTPリクエスト</t>
        </is>
      </c>
      <c r="C24" s="7" t="inlineStr">
        <is>
          <t>HTTP Request</t>
        </is>
      </c>
      <c r="D24" s="7" t="inlineStr">
        <is>
          <t>コントローラまたはスレッドグループ → 追加 → サンプラー</t>
        </is>
      </c>
      <c r="E24" s="7" t="inlineStr">
        <is>
          <t>1 回の HTTP。</t>
        </is>
      </c>
      <c r="F24" s="7" t="inlineStr">
        <is>
          <t>メソッド、パス、必要なら Body。サーバ名は空（初期値に任せる）。</t>
        </is>
      </c>
      <c r="G24" s="7" t="inlineStr">
        <is>
          <t>名前を HTTP_GET_orders のように一意にする。同じ名前は 1 行に合算される。</t>
        </is>
      </c>
    </row>
    <row r="25" ht="32" customHeight="1">
      <c r="A25" s="8" t="inlineStr">
        <is>
          <t>サンプラー</t>
        </is>
      </c>
      <c r="B25" s="8" t="inlineStr">
        <is>
          <t>デバッグサンプラー</t>
        </is>
      </c>
      <c r="C25" s="8" t="inlineStr">
        <is>
          <t>Debug Sampler</t>
        </is>
      </c>
      <c r="D25" s="8" t="inlineStr">
        <is>
          <t>追加 → サンプラー</t>
        </is>
      </c>
      <c r="E25" s="8" t="inlineStr">
        <is>
          <t>その時点の変数を結果ツリーに出す。</t>
        </is>
      </c>
      <c r="F25" s="8" t="inlineStr">
        <is>
          <t>トークンが取れているかの確認。</t>
        </is>
      </c>
      <c r="G25" s="8" t="inlineStr">
        <is>
          <t>負荷の前に無効にする。変数の中身が jtl に残り得る。</t>
        </is>
      </c>
    </row>
    <row r="26" ht="32" customHeight="1">
      <c r="A26" s="7" t="inlineStr">
        <is>
          <t>後処理</t>
        </is>
      </c>
      <c r="B26" s="7" t="inlineStr">
        <is>
          <t>JSON Extractor</t>
        </is>
      </c>
      <c r="C26" s="7" t="inlineStr">
        <is>
          <t>JSON Extractor / JSON PostProcessor</t>
        </is>
      </c>
      <c r="D26" s="7" t="inlineStr">
        <is>
          <t>HTTP リクエスト → 追加 → 後処理</t>
        </is>
      </c>
      <c r="E26" s="7" t="inlineStr">
        <is>
          <t>JSON 応答から値を抜き、変数にする。</t>
        </is>
      </c>
      <c r="F26" s="7" t="inlineStr">
        <is>
          <t>変数名 token、JSON Path $.token、Match No. 1、Default TOKEN_NOT_FOUND。</t>
        </is>
      </c>
      <c r="G26" s="7" t="inlineStr">
        <is>
          <t>Default を空にすると、取りこぼしに気づけない。</t>
        </is>
      </c>
    </row>
    <row r="27" ht="32" customHeight="1">
      <c r="A27" s="8" t="inlineStr">
        <is>
          <t>後処理</t>
        </is>
      </c>
      <c r="B27" s="8" t="inlineStr">
        <is>
          <t>正規表現抽出</t>
        </is>
      </c>
      <c r="C27" s="8" t="inlineStr">
        <is>
          <t>Regular Expression Extractor</t>
        </is>
      </c>
      <c r="D27" s="8" t="inlineStr">
        <is>
          <t>HTTP リクエスト → 追加 → 後処理</t>
        </is>
      </c>
      <c r="E27" s="8" t="inlineStr">
        <is>
          <t>テキストから抜く。HTML やプレーンテキスト向き。</t>
        </is>
      </c>
      <c r="F27" s="8" t="inlineStr">
        <is>
          <t>参照名、正規表現、テンプレート $1$、一致番号 1、初期値 NOT_FOUND。</t>
        </is>
      </c>
      <c r="G27" s="8" t="inlineStr">
        <is>
          <t>欲張った .* は遅く、誤って長い文字列を掴む。</t>
        </is>
      </c>
    </row>
    <row r="28" ht="32" customHeight="1">
      <c r="A28" s="7" t="inlineStr">
        <is>
          <t>後処理</t>
        </is>
      </c>
      <c r="B28" s="7" t="inlineStr">
        <is>
          <t>境界抽出器</t>
        </is>
      </c>
      <c r="C28" s="7" t="inlineStr">
        <is>
          <t>Boundary Extractor</t>
        </is>
      </c>
      <c r="D28" s="7" t="inlineStr">
        <is>
          <t>同上</t>
        </is>
      </c>
      <c r="E28" s="7" t="inlineStr">
        <is>
          <t>開始文字列と終了文字列で抜く。正規表現より単純。</t>
        </is>
      </c>
      <c r="F28" s="7" t="inlineStr">
        <is>
          <t>左境界と右境界。</t>
        </is>
      </c>
      <c r="G28" s="7" t="inlineStr">
        <is>
          <t>境界文字列が応答に 2 回あると、意図しない方を取ることがある。</t>
        </is>
      </c>
    </row>
    <row r="29" ht="32" customHeight="1">
      <c r="A29" s="8" t="inlineStr">
        <is>
          <t>アサーション</t>
        </is>
      </c>
      <c r="B29" s="8" t="inlineStr">
        <is>
          <t>応答アサーション</t>
        </is>
      </c>
      <c r="C29" s="8" t="inlineStr">
        <is>
          <t>Response Assertion</t>
        </is>
      </c>
      <c r="D29" s="8" t="inlineStr">
        <is>
          <t>リクエスト → 追加 → アサーション</t>
        </is>
      </c>
      <c r="E29" s="8" t="inlineStr">
        <is>
          <t>応答コードや本文が期待どおりか。</t>
        </is>
      </c>
      <c r="F29" s="8" t="inlineStr">
        <is>
          <t>応答コード、等しい、200。</t>
        </is>
      </c>
      <c r="G29" s="8" t="inlineStr">
        <is>
          <t>失敗はエラー率に入る。遅いこと自体はここでは見ない。</t>
        </is>
      </c>
    </row>
    <row r="30" ht="44" customHeight="1">
      <c r="A30" s="7" t="inlineStr">
        <is>
          <t>アサーション</t>
        </is>
      </c>
      <c r="B30" s="7" t="inlineStr">
        <is>
          <t>アサーションの持続</t>
        </is>
      </c>
      <c r="C30" s="7" t="inlineStr">
        <is>
          <t>Duration Assertion</t>
        </is>
      </c>
      <c r="D30" s="7" t="inlineStr">
        <is>
          <t>同上</t>
        </is>
      </c>
      <c r="E30" s="7" t="inlineStr">
        <is>
          <t>所要時間がミリ秒の上限を超えたら失敗にする。</t>
        </is>
      </c>
      <c r="F30" s="7" t="inlineStr">
        <is>
          <t>最初は入れない。</t>
        </is>
      </c>
      <c r="G30" s="7" t="inlineStr">
        <is>
          <t>入れると、遅さと機能エラーが同じエラー率に混ざる。SLO は Excel で判定する。</t>
        </is>
      </c>
    </row>
    <row r="31" ht="32" customHeight="1">
      <c r="A31" s="8" t="inlineStr">
        <is>
          <t>アサーション</t>
        </is>
      </c>
      <c r="B31" s="8" t="inlineStr">
        <is>
          <t>サイズアサーション</t>
        </is>
      </c>
      <c r="C31" s="8" t="inlineStr">
        <is>
          <t>Size Assertion</t>
        </is>
      </c>
      <c r="D31" s="8" t="inlineStr">
        <is>
          <t>同上</t>
        </is>
      </c>
      <c r="E31" s="8" t="inlineStr">
        <is>
          <t>応答のバイト数。</t>
        </is>
      </c>
      <c r="F31" s="8" t="inlineStr">
        <is>
          <t>空応答を失敗にしたいとき。</t>
        </is>
      </c>
      <c r="G31" s="8" t="inlineStr">
        <is>
          <t>圧縮の有無でサイズが変わり、誤検知する。</t>
        </is>
      </c>
    </row>
    <row r="32" ht="44" customHeight="1">
      <c r="A32" s="7" t="inlineStr">
        <is>
          <t>アサーション</t>
        </is>
      </c>
      <c r="B32" s="7" t="inlineStr">
        <is>
          <t>JSON Assertion</t>
        </is>
      </c>
      <c r="C32" s="7" t="inlineStr">
        <is>
          <t>JSON Assertion / JSON Path Assertion</t>
        </is>
      </c>
      <c r="D32" s="7" t="inlineStr">
        <is>
          <t>追加 → アサーション</t>
        </is>
      </c>
      <c r="E32" s="7" t="inlineStr">
        <is>
          <t>JSON のパスが期待値か。</t>
        </is>
      </c>
      <c r="F32" s="7" t="inlineStr">
        <is>
          <t>メニューに無いバージョンでは、抽出＋応答アサーションで代用する。</t>
        </is>
      </c>
      <c r="G32" s="7" t="inlineStr">
        <is>
          <t>パスが無いだけの失敗と、HTTP の失敗をレポートで区別できるよう、メッセージを残す設定にする。</t>
        </is>
      </c>
    </row>
    <row r="33" ht="32" customHeight="1">
      <c r="A33" s="8" t="inlineStr">
        <is>
          <t>タイマ</t>
        </is>
      </c>
      <c r="B33" s="8" t="inlineStr">
        <is>
          <t>定数タイマ</t>
        </is>
      </c>
      <c r="C33" s="8" t="inlineStr">
        <is>
          <t>Constant Timer</t>
        </is>
      </c>
      <c r="D33" s="8" t="inlineStr">
        <is>
          <t>追加 → タイマ</t>
        </is>
      </c>
      <c r="E33" s="8" t="inlineStr">
        <is>
          <t>毎回同じミリ秒だけ、次のリクエストの前に待つ。</t>
        </is>
      </c>
      <c r="F33" s="8" t="inlineStr">
        <is>
          <t>固定の待ちが仕様のとき。</t>
        </is>
      </c>
      <c r="G33" s="8" t="inlineStr">
        <is>
          <t>スコープを間違えると、ログインの前にも待ちが入る。</t>
        </is>
      </c>
    </row>
    <row r="34" ht="44" customHeight="1">
      <c r="A34" s="7" t="inlineStr">
        <is>
          <t>タイマ</t>
        </is>
      </c>
      <c r="B34" s="7" t="inlineStr">
        <is>
          <t>一様乱数タイマ</t>
        </is>
      </c>
      <c r="C34" s="7" t="inlineStr">
        <is>
          <t>Uniform Random Timer</t>
        </is>
      </c>
      <c r="D34" s="7" t="inlineStr">
        <is>
          <t>追加 → タイマ</t>
        </is>
      </c>
      <c r="E34" s="7" t="inlineStr">
        <is>
          <t>待ちをばらす。人が画面を見る時間の代わり。</t>
        </is>
      </c>
      <c r="F34" s="7" t="inlineStr">
        <is>
          <t>定数遅延 1000、ランダム遅延 2000 なら、1〜3 秒の一様乱数。</t>
        </is>
      </c>
      <c r="G34" s="7" t="inlineStr">
        <is>
          <t>入れた待ちはスループットを下げる。レポートの条件に「思考時間あり」と書く。</t>
        </is>
      </c>
    </row>
    <row r="35" ht="44" customHeight="1">
      <c r="A35" s="8" t="inlineStr">
        <is>
          <t>タイマ</t>
        </is>
      </c>
      <c r="B35" s="8" t="inlineStr">
        <is>
          <t>定数スループットタイマ</t>
        </is>
      </c>
      <c r="C35" s="8" t="inlineStr">
        <is>
          <t>Constant Throughput Timer</t>
        </is>
      </c>
      <c r="D35" s="8" t="inlineStr">
        <is>
          <t>追加 → タイマ</t>
        </is>
      </c>
      <c r="E35" s="8" t="inlineStr">
        <is>
          <t>目標の 1 分あたり件数に合わせて待つ。</t>
        </is>
      </c>
      <c r="F35" s="8" t="inlineStr">
        <is>
          <t>件数が契約で決まっているときだけ。</t>
        </is>
      </c>
      <c r="G35" s="8" t="inlineStr">
        <is>
          <t>目標がサーバの限界を超えると、タイマは待たなくなり、目標に届かない。届かなかった事実を書く。</t>
        </is>
      </c>
    </row>
    <row r="36" ht="32" customHeight="1">
      <c r="A36" s="7" t="inlineStr">
        <is>
          <t>リスナー</t>
        </is>
      </c>
      <c r="B36" s="7" t="inlineStr">
        <is>
          <t>結果をツリーで表示</t>
        </is>
      </c>
      <c r="C36" s="7" t="inlineStr">
        <is>
          <t>View Results Tree</t>
        </is>
      </c>
      <c r="D36" s="7" t="inlineStr">
        <is>
          <t>追加 → リスナー</t>
        </is>
      </c>
      <c r="E36" s="7" t="inlineStr">
        <is>
          <t>1 件ずつの要求と応答を見る。デバッグの本体。</t>
        </is>
      </c>
      <c r="F36" s="7" t="inlineStr">
        <is>
          <t>デバッグ中だけ有効。</t>
        </is>
      </c>
      <c r="G36" s="7" t="inlineStr">
        <is>
          <t>CLI の前に無効。有効のままだとサンプルをメモリに貯めて落ちる。</t>
        </is>
      </c>
    </row>
    <row r="37" ht="32" customHeight="1">
      <c r="A37" s="8" t="inlineStr">
        <is>
          <t>リスナー</t>
        </is>
      </c>
      <c r="B37" s="8" t="inlineStr">
        <is>
          <t>統計レポート</t>
        </is>
      </c>
      <c r="C37" s="8" t="inlineStr">
        <is>
          <t>Aggregate Report</t>
        </is>
      </c>
      <c r="D37" s="8" t="inlineStr">
        <is>
          <t>追加 → リスナー</t>
        </is>
      </c>
      <c r="E37" s="8" t="inlineStr">
        <is>
          <t>平均、中央値、90%、95%、99%、エラー率、スループット。</t>
        </is>
      </c>
      <c r="F37" s="8" t="inlineStr">
        <is>
          <t>GUI の少人数確認の目安。</t>
        </is>
      </c>
      <c r="G37" s="8" t="inlineStr">
        <is>
          <t>負荷の数値の正本にしない。正本は CLI の jtl と statistics.json。</t>
        </is>
      </c>
    </row>
    <row r="38" ht="32" customHeight="1">
      <c r="A38" s="7" t="inlineStr">
        <is>
          <t>リスナー</t>
        </is>
      </c>
      <c r="B38" s="7" t="inlineStr">
        <is>
          <t>集計レポート</t>
        </is>
      </c>
      <c r="C38" s="7" t="inlineStr">
        <is>
          <t>Summary Report</t>
        </is>
      </c>
      <c r="D38" s="7" t="inlineStr">
        <is>
          <t>追加 → リスナー</t>
        </is>
      </c>
      <c r="E38" s="7" t="inlineStr">
        <is>
          <t>統計レポートより列が少ない要約。</t>
        </is>
      </c>
      <c r="F38" s="7" t="inlineStr">
        <is>
          <t>同上。</t>
        </is>
      </c>
      <c r="G38" s="7" t="inlineStr">
        <is>
          <t>同上。GUI の画面をスクリーンショットして報告にしない。</t>
        </is>
      </c>
    </row>
    <row r="39" ht="22" customHeight="1">
      <c r="A39" s="8" t="inlineStr">
        <is>
          <t>リスナー</t>
        </is>
      </c>
      <c r="B39" s="8" t="inlineStr">
        <is>
          <t>結果を表で表示</t>
        </is>
      </c>
      <c r="C39" s="8" t="inlineStr">
        <is>
          <t>View Results in Table</t>
        </is>
      </c>
      <c r="D39" s="8" t="inlineStr">
        <is>
          <t>追加 → リスナー</t>
        </is>
      </c>
      <c r="E39" s="8" t="inlineStr">
        <is>
          <t>1 行 1 サンプルの表。</t>
        </is>
      </c>
      <c r="F39" s="8" t="inlineStr">
        <is>
          <t>失敗行を目で探すとき。</t>
        </is>
      </c>
      <c r="G39" s="8" t="inlineStr">
        <is>
          <t>負荷の前に無効。</t>
        </is>
      </c>
    </row>
    <row r="40" ht="32" customHeight="1">
      <c r="A40" s="7" t="inlineStr">
        <is>
          <t>リスナー</t>
        </is>
      </c>
      <c r="B40" s="7" t="inlineStr">
        <is>
          <t>簡易データライタ</t>
        </is>
      </c>
      <c r="C40" s="7" t="inlineStr">
        <is>
          <t>Simple Data Writer</t>
        </is>
      </c>
      <c r="D40" s="7" t="inlineStr">
        <is>
          <t>追加 → リスナー</t>
        </is>
      </c>
      <c r="E40" s="7" t="inlineStr">
        <is>
          <t>リスナーからファイルへ書く。</t>
        </is>
      </c>
      <c r="F40" s="7" t="inlineStr">
        <is>
          <t>この手順では使わない。</t>
        </is>
      </c>
      <c r="G40" s="7" t="inlineStr">
        <is>
          <t>-l と二重に書くと混乱する。出力はコマンドの -l に一本化する。</t>
        </is>
      </c>
    </row>
    <row r="41" ht="32" customHeight="1">
      <c r="A41" s="8" t="inlineStr">
        <is>
          <t>リスナー</t>
        </is>
      </c>
      <c r="B41" s="8" t="inlineStr">
        <is>
          <t>Backend Listener</t>
        </is>
      </c>
      <c r="C41" s="8" t="inlineStr">
        <is>
          <t>Backend Listener</t>
        </is>
      </c>
      <c r="D41" s="8" t="inlineStr">
        <is>
          <t>追加 → リスナー</t>
        </is>
      </c>
      <c r="E41" s="8" t="inlineStr">
        <is>
          <t>実行中に外部へメトリクスを送る。</t>
        </is>
      </c>
      <c r="F41" s="8" t="inlineStr">
        <is>
          <t>今回の基本手順では追加しない。</t>
        </is>
      </c>
      <c r="G41" s="8" t="inlineStr">
        <is>
          <t>送り先が無いとエラーログが増える。使うなら送信先を試験条件に書く。</t>
        </is>
      </c>
    </row>
    <row r="42" ht="56" customHeight="1">
      <c r="A42" s="7" t="inlineStr">
        <is>
          <t>前処理</t>
        </is>
      </c>
      <c r="B42" s="7" t="inlineStr">
        <is>
          <t>JSR223 PreProcessor</t>
        </is>
      </c>
      <c r="C42" s="7" t="inlineStr">
        <is>
          <t>JSR223 PreProcessor</t>
        </is>
      </c>
      <c r="D42" s="7" t="inlineStr">
        <is>
          <t>追加 → 前処理</t>
        </is>
      </c>
      <c r="E42" s="7" t="inlineStr">
        <is>
          <t>Groovy でリクエスト前に加工する。</t>
        </is>
      </c>
      <c r="F42" s="7" t="inlineStr">
        <is>
          <t>最初は使わない。</t>
        </is>
      </c>
      <c r="G42" s="7" t="inlineStr">
        <is>
          <t>Language を javascript にしない。Java 11 以降 Nashorn は非推奨で、動かない環境がある。Groovy を使う。</t>
        </is>
      </c>
    </row>
    <row r="43" ht="44" customHeight="1">
      <c r="A43" s="8" t="inlineStr">
        <is>
          <t>録音</t>
        </is>
      </c>
      <c r="B43" s="8" t="inlineStr">
        <is>
          <t>HTTP(S) Test Script Recorder</t>
        </is>
      </c>
      <c r="C43" s="8" t="inlineStr">
        <is>
          <t>HTTP(S) Test Script Recorder</t>
        </is>
      </c>
      <c r="D43" s="8" t="inlineStr">
        <is>
          <t>テスト計画 → 追加 → Non-Testエレメント</t>
        </is>
      </c>
      <c r="E43" s="8" t="inlineStr">
        <is>
          <t>ブラウザ操作を HTTP リクエストとして記録する。</t>
        </is>
      </c>
      <c r="F43" s="8" t="inlineStr">
        <is>
          <t>手動で API を書けるなら使わない。</t>
        </is>
      </c>
      <c r="G43" s="8" t="inlineStr">
        <is>
          <t>録音用プロキシと、JMeter が外へ出るときのプロキシは別物。16 を読む。</t>
        </is>
      </c>
    </row>
    <row r="44" ht="32" customHeight="1">
      <c r="A44" s="7" t="inlineStr">
        <is>
          <t>テンプレート</t>
        </is>
      </c>
      <c r="B44" s="7" t="inlineStr">
        <is>
          <t>テンプレートから作成</t>
        </is>
      </c>
      <c r="C44" s="7" t="inlineStr">
        <is>
          <t>Templates</t>
        </is>
      </c>
      <c r="D44" s="7" t="inlineStr">
        <is>
          <t>ファイル → テンプレート（Templates）</t>
        </is>
      </c>
      <c r="E44" s="7" t="inlineStr">
        <is>
          <t>録音用や既製の骨組みを作る。</t>
        </is>
      </c>
      <c r="F44" s="7" t="inlineStr">
        <is>
          <t>中身を読めるようになってから。</t>
        </is>
      </c>
      <c r="G44" s="7" t="inlineStr">
        <is>
          <t>テンプレートのリスナーを無効にし忘れる。</t>
        </is>
      </c>
    </row>
    <row r="46" ht="24" customHeight="1">
      <c r="A46" s="5" t="inlineStr">
        <is>
          <t>プラグインを足す手順（必要なときだけ）</t>
        </is>
      </c>
      <c r="B46" s="5" t="n"/>
      <c r="C46" s="5" t="n"/>
      <c r="D46" s="5" t="n"/>
      <c r="E46" s="5" t="n"/>
      <c r="F46" s="5" t="n"/>
      <c r="G46" s="5" t="n"/>
    </row>
    <row r="47" ht="28" customHeight="1">
      <c r="A47" s="6" t="inlineStr">
        <is>
          <t>手順</t>
        </is>
      </c>
      <c r="B47" s="6" t="inlineStr">
        <is>
          <t>どこで</t>
        </is>
      </c>
      <c r="C47" s="6" t="inlineStr">
        <is>
          <t>操作</t>
        </is>
      </c>
      <c r="D47" s="6" t="inlineStr">
        <is>
          <t>入力する値</t>
        </is>
      </c>
      <c r="E47" s="6" t="inlineStr">
        <is>
          <t>うまくいったときの見え方</t>
        </is>
      </c>
      <c r="F47" s="6" t="inlineStr">
        <is>
          <t>つまずきやすい点</t>
        </is>
      </c>
      <c r="G47" s="6" t="inlineStr">
        <is>
          <t>画像</t>
        </is>
      </c>
    </row>
    <row r="48" ht="32" customHeight="1">
      <c r="A48" s="7" t="inlineStr">
        <is>
          <t>1</t>
        </is>
      </c>
      <c r="B48" s="7" t="inlineStr">
        <is>
          <t>方針</t>
        </is>
      </c>
      <c r="C48" s="7" t="inlineStr">
        <is>
          <t>標準の要素で書けるなら足さない。</t>
        </is>
      </c>
      <c r="D48" s="7" t="inlineStr">
        <is>
          <t>Ultimate Thread Group などが欲しくなったときだけ。</t>
        </is>
      </c>
      <c r="E48" s="7" t="inlineStr">
        <is>
          <t>カタログの標準要素でシナリオが組める。</t>
        </is>
      </c>
      <c r="F48" s="7" t="inlineStr">
        <is>
          <t>先にプラグインを入れて、サーバへ jar を送り忘れる。</t>
        </is>
      </c>
      <c r="G48" s="7" t="inlineStr"/>
    </row>
    <row r="49" ht="44" customHeight="1">
      <c r="A49" s="8" t="inlineStr">
        <is>
          <t>2</t>
        </is>
      </c>
      <c r="B49" s="8" t="inlineStr">
        <is>
          <t>ブラウザ</t>
        </is>
      </c>
      <c r="C49" s="8" t="inlineStr">
        <is>
          <t>jmeter-plugins.org の Plugins Manager の説明を開く。Apache 本体ではない。</t>
        </is>
      </c>
      <c r="D49" s="8" t="inlineStr">
        <is>
          <t>https://jmeter-plugins.org/wiki/PluginsManager/</t>
        </is>
      </c>
      <c r="E49" s="8" t="inlineStr">
        <is>
          <t>jar のダウンロードリンクがある。</t>
        </is>
      </c>
      <c r="F49" s="8" t="inlineStr">
        <is>
          <t>出所の違う同名 jar を置かない。</t>
        </is>
      </c>
      <c r="G49" s="8" t="inlineStr"/>
    </row>
    <row r="50" ht="56" customHeight="1">
      <c r="A50" s="7" t="inlineStr">
        <is>
          <t>3</t>
        </is>
      </c>
      <c r="B50" s="7" t="inlineStr">
        <is>
          <t>lib/ext</t>
        </is>
      </c>
      <c r="C50" s="7" t="inlineStr">
        <is>
          <t>jmeter-plugins-manager の jar を、端末の lib\ext に置く。</t>
        </is>
      </c>
      <c r="D50" s="7" t="inlineStr">
        <is>
          <t>C:\Tools\apache-jmeter-5.6.3\lib\ext</t>
        </is>
      </c>
      <c r="E50" s="7" t="inlineStr">
        <is>
          <t>jar が ext の直下にある。</t>
        </is>
      </c>
      <c r="F50" s="7" t="inlineStr">
        <is>
          <t>lib 直下に置くと部品として認識されない。公式は部品を lib/ext、補助ライブラリを lib と分けている。</t>
        </is>
      </c>
      <c r="G50" s="7" t="inlineStr"/>
    </row>
    <row r="51" ht="32" customHeight="1">
      <c r="A51" s="8" t="inlineStr">
        <is>
          <t>4</t>
        </is>
      </c>
      <c r="B51" s="8" t="inlineStr">
        <is>
          <t>再起動</t>
        </is>
      </c>
      <c r="C51" s="8" t="inlineStr">
        <is>
          <t>JMeter を閉じ、jmeter.bat で開き直す。</t>
        </is>
      </c>
      <c r="D51" s="8" t="inlineStr">
        <is>
          <t>オプション → Plugins Manager</t>
        </is>
      </c>
      <c r="E51" s="8" t="inlineStr">
        <is>
          <t>窓が開く。</t>
        </is>
      </c>
      <c r="F51" s="8" t="inlineStr">
        <is>
          <t>起動したまま jar を置いてもメニューは増えない。</t>
        </is>
      </c>
      <c r="G51" s="8" t="inlineStr">
        <is>
          <t>下の枠</t>
        </is>
      </c>
    </row>
    <row r="52" ht="32" customHeight="1">
      <c r="A52" s="7" t="inlineStr">
        <is>
          <t>5</t>
        </is>
      </c>
      <c r="B52" s="7" t="inlineStr">
        <is>
          <t>導入</t>
        </is>
      </c>
      <c r="C52" s="7" t="inlineStr">
        <is>
          <t>Available から必要なものだけ選び、Apply Changes and Restart。</t>
        </is>
      </c>
      <c r="D52" s="7" t="inlineStr">
        <is>
          <t>例は無理に入れない。</t>
        </is>
      </c>
      <c r="E52" s="7" t="inlineStr">
        <is>
          <t>再起動後、追加メニューに新しい要素が出る。</t>
        </is>
      </c>
      <c r="F52" s="7" t="inlineStr">
        <is>
          <t>Suggested を全部入れない。試験と無関係な要素が増える。</t>
        </is>
      </c>
      <c r="G52" s="7" t="inlineStr"/>
    </row>
    <row r="53" ht="44" customHeight="1">
      <c r="A53" s="8" t="inlineStr">
        <is>
          <t>6</t>
        </is>
      </c>
      <c r="B53" s="8" t="inlineStr">
        <is>
          <t>サーバ</t>
        </is>
      </c>
      <c r="C53" s="8" t="inlineStr">
        <is>
          <t>Plugins Manager が入った jar を、Linux の同じ相対位置へコピーする。lib と lib/ext の両方を見る。</t>
        </is>
      </c>
      <c r="D53" s="8" t="inlineStr">
        <is>
          <t>scp で jar だけ送る。</t>
        </is>
      </c>
      <c r="E53" s="8" t="inlineStr">
        <is>
          <t>サーバの lib/ext のファイル名が端末と一致。</t>
        </is>
      </c>
      <c r="F53" s="8" t="inlineStr">
        <is>
          <t>jmx だけ送って jar を送らないと、CLI は起動直後にプランを読めず終わる。</t>
        </is>
      </c>
      <c r="G53" s="8" t="inlineStr"/>
    </row>
    <row r="55" ht="22" customHeight="1">
      <c r="A55" s="14" t="inlineStr">
        <is>
          <t>IMG-13    画像差し込み枠    Plugins Manager を開いた画面</t>
        </is>
      </c>
      <c r="B55" s="14" t="n"/>
      <c r="C55" s="14" t="n"/>
      <c r="D55" s="14" t="n"/>
      <c r="E55" s="14" t="n"/>
      <c r="F55" s="14" t="n"/>
      <c r="G55" s="14" t="n"/>
    </row>
    <row r="56" ht="148" customHeight="1">
      <c r="A5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jar を入れて再起動したあと。入れないとメニューが無いので、その場合はこの枠に「未使用」と記入して図は貼らなくてよい。
画角: オプションメニューと Plugins Manager の窓。導入したプラグイン名が読めること。
文章は図の下に隠れてもよい。どの図かは 32_画像台帳 の IMG-13 を見る。</t>
        </is>
      </c>
      <c r="B56" s="15" t="n"/>
      <c r="C56" s="15" t="n"/>
      <c r="D56" s="15" t="n"/>
      <c r="E56" s="15" t="n"/>
      <c r="F56" s="15" t="n"/>
      <c r="G56" s="15" t="n"/>
    </row>
  </sheetData>
  <autoFilter ref="A7:G44"/>
  <mergeCells count="9">
    <mergeCell ref="A1:G1"/>
    <mergeCell ref="A56:G56"/>
    <mergeCell ref="A3:G3"/>
    <mergeCell ref="A6:G6"/>
    <mergeCell ref="A55:G55"/>
    <mergeCell ref="A4:G4"/>
    <mergeCell ref="A2:G2"/>
    <mergeCell ref="A5:G5"/>
    <mergeCell ref="A46:G46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43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GUI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注文検索のシナリオを、クリック順に作る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例のホストは app.example.internal。現場の試験対象に置き換える。スレッド数は最初からプロパティ参照にする。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02" customHeight="1">
      <c r="A6" s="25" t="inlineStr">
        <is>
          <t>完成形の木は次のとおり。上からこの順に足す。
テスト計画 注文検索
  HTTPリクエスト初期値
  HTTPヘッダマネージャ（Content-Type）
  スレッドグループ TG_注文検索
    CSV Data Set Config
    HTTPクッキーマネージャ
    一度だけ実行されるコントローラ
      HTTPリクエスト HTTP_POST_login
        JSON Extractor（token）
        応答アサーション（コード 200）
    トランザクションコントローラ TX_検索
      HTTPリクエスト HTTP_GET_orders
        応答アサーション（コード 200）
    一様乱数タイマ
    結果をツリーで表示（デバッグ中だけ有効）</t>
        </is>
      </c>
      <c r="B6" s="25" t="n"/>
      <c r="C6" s="25" t="n"/>
      <c r="D6" s="25" t="n"/>
      <c r="E6" s="25" t="n"/>
      <c r="F6" s="25" t="n"/>
      <c r="G6" s="25" t="n"/>
    </row>
    <row r="7" ht="32" customHeight="1">
      <c r="A7" s="18" t="inlineStr">
        <is>
          <t>現場の認証が Cognito のクライアント認証で、API Gateway に API キーを載せるときは、この木のログインを使わない。34 の木を、35 のクリック順で api-gateway.jmx として別に作る。Base64 は 36、トークンの保持は 37、正規表現の練習は 38、ヘッダ名は 39。</t>
        </is>
      </c>
      <c r="B7" s="18" t="n"/>
      <c r="C7" s="18" t="n"/>
      <c r="D7" s="18" t="n"/>
      <c r="E7" s="18" t="n"/>
      <c r="F7" s="18" t="n"/>
      <c r="G7" s="18" t="n"/>
    </row>
    <row r="8" ht="28" customHeight="1">
      <c r="A8" s="6" t="inlineStr">
        <is>
          <t>手順</t>
        </is>
      </c>
      <c r="B8" s="6" t="inlineStr">
        <is>
          <t>どこで</t>
        </is>
      </c>
      <c r="C8" s="6" t="inlineStr">
        <is>
          <t>操作</t>
        </is>
      </c>
      <c r="D8" s="6" t="inlineStr">
        <is>
          <t>入力する値</t>
        </is>
      </c>
      <c r="E8" s="6" t="inlineStr">
        <is>
          <t>うまくいったときの見え方</t>
        </is>
      </c>
      <c r="F8" s="6" t="inlineStr">
        <is>
          <t>つまずきやすい点</t>
        </is>
      </c>
      <c r="G8" s="6" t="inlineStr">
        <is>
          <t>画像</t>
        </is>
      </c>
    </row>
    <row r="9" ht="32" customHeight="1">
      <c r="A9" s="7" t="inlineStr">
        <is>
          <t>1</t>
        </is>
      </c>
      <c r="B9" s="7" t="inlineStr">
        <is>
          <t>テスト計画</t>
        </is>
      </c>
      <c r="C9" s="7" t="inlineStr">
        <is>
          <t>右の名前を変える。</t>
        </is>
      </c>
      <c r="D9" s="7" t="inlineStr">
        <is>
          <t>注文検索</t>
        </is>
      </c>
      <c r="E9" s="7" t="inlineStr">
        <is>
          <t>ツリーの一番上が 注文検索。</t>
        </is>
      </c>
      <c r="F9" s="7" t="inlineStr">
        <is>
          <t>ここにスレッド数は書かない。スレッド数はスレッドグループ。</t>
        </is>
      </c>
      <c r="G9" s="7" t="inlineStr"/>
    </row>
    <row r="10" ht="44" customHeight="1">
      <c r="A10" s="8" t="inlineStr">
        <is>
          <t>2</t>
        </is>
      </c>
      <c r="B10" s="8" t="inlineStr">
        <is>
          <t>テスト計画を右クリック</t>
        </is>
      </c>
      <c r="C10" s="8" t="inlineStr">
        <is>
          <t>追加 → 設定エレメント → HTTPリクエスト初期値（HTTP Request Defaults）。</t>
        </is>
      </c>
      <c r="D10" s="8" t="inlineStr">
        <is>
          <t>プロトコル https、サーバ app.example.internal、ポート 443。</t>
        </is>
      </c>
      <c r="E10" s="8" t="inlineStr">
        <is>
          <t>各リクエストにホストを書かなくてよくなる。</t>
        </is>
      </c>
      <c r="F10" s="8" t="inlineStr">
        <is>
          <t>ポートを空のままにすると 80 や 443 の既定に依存する。明示する。</t>
        </is>
      </c>
      <c r="G10" s="8" t="inlineStr">
        <is>
          <t>下の枠</t>
        </is>
      </c>
    </row>
    <row r="11" ht="32" customHeight="1">
      <c r="A11" s="7" t="inlineStr">
        <is>
          <t>3</t>
        </is>
      </c>
      <c r="B11" s="7" t="inlineStr">
        <is>
          <t>テスト計画を右クリック</t>
        </is>
      </c>
      <c r="C11" s="7" t="inlineStr">
        <is>
          <t>追加 → 設定エレメント → HTTPヘッダマネージャ。</t>
        </is>
      </c>
      <c r="D11" s="7" t="inlineStr">
        <is>
          <t>名前 Content-Type、値 application/json</t>
        </is>
      </c>
      <c r="E11" s="7" t="inlineStr">
        <is>
          <t>JSON を送るリクエストの共通ヘッダになる。</t>
        </is>
      </c>
      <c r="F11" s="7" t="inlineStr">
        <is>
          <t>Authorization はまだ入れない。トークンはログイン後の変数。</t>
        </is>
      </c>
      <c r="G11" s="7" t="inlineStr"/>
    </row>
    <row r="12" ht="32" customHeight="1">
      <c r="A12" s="8" t="inlineStr">
        <is>
          <t>4</t>
        </is>
      </c>
      <c r="B12" s="8" t="inlineStr">
        <is>
          <t>テスト計画を右クリック</t>
        </is>
      </c>
      <c r="C12" s="8" t="inlineStr">
        <is>
          <t>追加 → スレッド（ユーザー） → スレッドグループ。</t>
        </is>
      </c>
      <c r="D12" s="8" t="inlineStr">
        <is>
          <t>名前 TG_注文検索。</t>
        </is>
      </c>
      <c r="E12" s="8" t="inlineStr">
        <is>
          <t>右に人数の欄が出る。</t>
        </is>
      </c>
      <c r="F12" s="8" t="inlineStr">
        <is>
          <t>サンプラーをこの外に置かない。</t>
        </is>
      </c>
      <c r="G12" s="8" t="inlineStr">
        <is>
          <t>下の枠</t>
        </is>
      </c>
    </row>
    <row r="13" ht="56" customHeight="1">
      <c r="A13" s="7" t="inlineStr">
        <is>
          <t>5</t>
        </is>
      </c>
      <c r="B13" s="7" t="inlineStr">
        <is>
          <t>スレッドグループ</t>
        </is>
      </c>
      <c r="C13" s="7" t="inlineStr">
        <is>
          <t>エラー時の動作。</t>
        </is>
      </c>
      <c r="D13" s="7" t="inlineStr">
        <is>
          <t>継続（Continue）。</t>
        </is>
      </c>
      <c r="E13" s="7" t="inlineStr">
        <is>
          <t>1 件失敗しても、そのスレッドは次へ進む。</t>
        </is>
      </c>
      <c r="F13" s="7" t="inlineStr">
        <is>
          <t>停止（Stop Test）にすると、初回の失敗で全体が止まり、エラー率が小さくなる。デバッグ以外は継続。</t>
        </is>
      </c>
      <c r="G13" s="7" t="inlineStr"/>
    </row>
    <row r="14" ht="44" customHeight="1">
      <c r="A14" s="8" t="inlineStr">
        <is>
          <t>6</t>
        </is>
      </c>
      <c r="B14" s="8" t="inlineStr">
        <is>
          <t>スレッド数</t>
        </is>
      </c>
      <c r="C14" s="8" t="inlineStr">
        <is>
          <t>人数をプロパティにする。</t>
        </is>
      </c>
      <c r="D14" s="8" t="inlineStr">
        <is>
          <t>${__P(threads,1)}</t>
        </is>
      </c>
      <c r="E14" s="8" t="inlineStr">
        <is>
          <t>GUI では 1 人になる。</t>
        </is>
      </c>
      <c r="F14" s="8" t="inlineStr">
        <is>
          <t>欄に 100 と直書きすると、GUI の開始がそのまま 100 人になる。</t>
        </is>
      </c>
      <c r="G14" s="8" t="inlineStr"/>
    </row>
    <row r="15" ht="44" customHeight="1">
      <c r="A15" s="7" t="inlineStr">
        <is>
          <t>7</t>
        </is>
      </c>
      <c r="B15" s="7" t="inlineStr">
        <is>
          <t>Ramp-Up 期間（秒）</t>
        </is>
      </c>
      <c r="C15" s="7" t="inlineStr">
        <is>
          <t>全員が起動し終わる秒数。</t>
        </is>
      </c>
      <c r="D15" s="7" t="inlineStr">
        <is>
          <t>${__P(ramp,1)}</t>
        </is>
      </c>
      <c r="E15" s="7" t="inlineStr">
        <is>
          <t>1 人のときは 1 秒。</t>
        </is>
      </c>
      <c r="F15" s="7" t="inlineStr">
        <is>
          <t>100 人なのに ramp を 1 にすると、ほぼ一斉起動になる。試験条件と違う。</t>
        </is>
      </c>
      <c r="G15" s="7" t="inlineStr"/>
    </row>
    <row r="16" ht="56" customHeight="1">
      <c r="A16" s="8" t="inlineStr">
        <is>
          <t>8</t>
        </is>
      </c>
      <c r="B16" s="8" t="inlineStr">
        <is>
          <t>ループ回数</t>
        </is>
      </c>
      <c r="C16" s="8" t="inlineStr">
        <is>
          <t>無限にチェックを入れる。</t>
        </is>
      </c>
      <c r="D16" s="8" t="inlineStr">
        <is>
          <t>無限ループ（Infinite）。</t>
        </is>
      </c>
      <c r="E16" s="8" t="inlineStr">
        <is>
          <t>回数の欄がグレーになる。</t>
        </is>
      </c>
      <c r="F16" s="8" t="inlineStr">
        <is>
          <t>無限のままスケジューラをオフにすると、手動で止めるまで終わらない。次の手順でスケジューラをオンにする。</t>
        </is>
      </c>
      <c r="G16" s="8" t="inlineStr"/>
    </row>
    <row r="17" ht="32" customHeight="1">
      <c r="A17" s="7" t="inlineStr">
        <is>
          <t>9</t>
        </is>
      </c>
      <c r="B17" s="7" t="inlineStr">
        <is>
          <t>スケジューラ</t>
        </is>
      </c>
      <c r="C17" s="7" t="inlineStr">
        <is>
          <t>スケジューラをオンにし、持続時間だけ入れる。</t>
        </is>
      </c>
      <c r="D17" s="7" t="inlineStr">
        <is>
          <t>持続時間（秒） ${__P(duration,60)}、起動遅延は空または 0。</t>
        </is>
      </c>
      <c r="E17" s="7" t="inlineStr">
        <is>
          <t>GUI では約 60 秒で終わる。</t>
        </is>
      </c>
      <c r="F17" s="7" t="inlineStr">
        <is>
          <t>持続時間を Ramp-Up より短くすると、全員そろう前に終わる。</t>
        </is>
      </c>
      <c r="G17" s="7" t="inlineStr"/>
    </row>
    <row r="18" ht="56" customHeight="1">
      <c r="A18" s="8" t="inlineStr">
        <is>
          <t>10</t>
        </is>
      </c>
      <c r="B18" s="8" t="inlineStr">
        <is>
          <t>同じユーザを繰り返す</t>
        </is>
      </c>
      <c r="C18" s="8" t="inlineStr">
        <is>
          <t>ループの各周で Cookie を維持するかの指定。画面の「各反復で同じユーザ」に相当するチェック。</t>
        </is>
      </c>
      <c r="D18" s="8" t="inlineStr">
        <is>
          <t>ログインを一度だけにして検索を繰り返すならオン。</t>
        </is>
      </c>
      <c r="E18" s="8" t="inlineStr">
        <is>
          <t>2 周目も同じセッションで検索できる。</t>
        </is>
      </c>
      <c r="F18" s="8" t="inlineStr">
        <is>
          <t>オフだと周ごとに接続や Cookie が切れ、ログインが一度だけのコントローラと矛盾することがある。</t>
        </is>
      </c>
      <c r="G18" s="8" t="inlineStr"/>
    </row>
    <row r="19" ht="44" customHeight="1">
      <c r="A19" s="7" t="inlineStr">
        <is>
          <t>11</t>
        </is>
      </c>
      <c r="B19" s="7" t="inlineStr">
        <is>
          <t>スレッドグループを右クリック</t>
        </is>
      </c>
      <c r="C19" s="7" t="inlineStr">
        <is>
          <t>追加 → 設定エレメント → CSV Data Set Config。</t>
        </is>
      </c>
      <c r="D19" s="7" t="inlineStr">
        <is>
          <t>13 の手順で中身を入れる。ファイルが無い間は、ログインを固定値で先に通してよい。</t>
        </is>
      </c>
      <c r="E19" s="7" t="inlineStr">
        <is>
          <t>要素がツリーに出る。</t>
        </is>
      </c>
      <c r="F19" s="7" t="inlineStr">
        <is>
          <t>CSV のパスを絶対パスの C:\Users\自分 にすると、Linux で読めない。</t>
        </is>
      </c>
      <c r="G19" s="7" t="inlineStr"/>
    </row>
    <row r="20" ht="44" customHeight="1">
      <c r="A20" s="8" t="inlineStr">
        <is>
          <t>12</t>
        </is>
      </c>
      <c r="B20" s="8" t="inlineStr">
        <is>
          <t>スレッドグループを右クリック</t>
        </is>
      </c>
      <c r="C20" s="8" t="inlineStr">
        <is>
          <t>追加 → 設定エレメント → HTTPクッキーマネージャ。</t>
        </is>
      </c>
      <c r="D20" s="8" t="inlineStr">
        <is>
          <t>名前以外は空でよい。</t>
        </is>
      </c>
      <c r="E20" s="8" t="inlineStr">
        <is>
          <t>要素がある。</t>
        </is>
      </c>
      <c r="F20" s="8" t="inlineStr">
        <is>
          <t>クリアのチェックを不用意にオンにすると、周ごとに Cookie が消える。</t>
        </is>
      </c>
      <c r="G20" s="8" t="inlineStr"/>
    </row>
    <row r="21" ht="32" customHeight="1">
      <c r="A21" s="7" t="inlineStr">
        <is>
          <t>13</t>
        </is>
      </c>
      <c r="B21" s="7" t="inlineStr">
        <is>
          <t>スレッドグループを右クリック</t>
        </is>
      </c>
      <c r="C21" s="7" t="inlineStr">
        <is>
          <t>追加 → ロジックコントローラ → 一度だけ実行されるコントローラ。</t>
        </is>
      </c>
      <c r="D21" s="7" t="inlineStr">
        <is>
          <t>名前 ONCE_ログイン。</t>
        </is>
      </c>
      <c r="E21" s="7" t="inlineStr">
        <is>
          <t>そのスレッドの最初だけ子が動く。</t>
        </is>
      </c>
      <c r="F21" s="7" t="inlineStr">
        <is>
          <t>この中に検索リクエストを入れると、検索が 1 回しか出ない。</t>
        </is>
      </c>
      <c r="G21" s="7" t="inlineStr"/>
    </row>
    <row r="22" ht="32" customHeight="1">
      <c r="A22" s="8" t="inlineStr">
        <is>
          <t>14</t>
        </is>
      </c>
      <c r="B22" s="8" t="inlineStr">
        <is>
          <t>ONCE_ログインを右クリック</t>
        </is>
      </c>
      <c r="C22" s="8" t="inlineStr">
        <is>
          <t>追加 → サンプラー → HTTPリクエスト。</t>
        </is>
      </c>
      <c r="D22" s="8" t="inlineStr">
        <is>
          <t>名前 HTTP_POST_login。メソッド POST。パス /api/login。サーバ名は空。</t>
        </is>
      </c>
      <c r="E22" s="8" t="inlineStr">
        <is>
          <t>Body に JSON を書く場所がある。</t>
        </is>
      </c>
      <c r="F22" s="8" t="inlineStr">
        <is>
          <t>サーバ名も書くと、初期値とどちらが効くか迷う。空にする。</t>
        </is>
      </c>
      <c r="G22" s="8" t="inlineStr">
        <is>
          <t>下の枠</t>
        </is>
      </c>
    </row>
    <row r="23" ht="32" customHeight="1">
      <c r="A23" s="7" t="inlineStr">
        <is>
          <t>15</t>
        </is>
      </c>
      <c r="B23" s="7" t="inlineStr">
        <is>
          <t>HTTP_POST_login</t>
        </is>
      </c>
      <c r="C23" s="7" t="inlineStr">
        <is>
          <t>Body Data に JSON を書く。パラメータ表と Body を同時に使わない。</t>
        </is>
      </c>
      <c r="D23" s="7" t="inlineStr">
        <is>
          <t>{"user":"${user}","password":"${password}"}</t>
        </is>
      </c>
      <c r="E23" s="7" t="inlineStr">
        <is>
          <t>変数名が CSV の列名と一致。</t>
        </is>
      </c>
      <c r="F23" s="7" t="inlineStr">
        <is>
          <t>パラメータ表に同じ内容を入れると、JSON にならない。</t>
        </is>
      </c>
      <c r="G23" s="7" t="inlineStr"/>
    </row>
    <row r="24" ht="56" customHeight="1">
      <c r="A24" s="8" t="inlineStr">
        <is>
          <t>16</t>
        </is>
      </c>
      <c r="B24" s="8" t="inlineStr">
        <is>
          <t>HTTP_POST_loginを右クリック</t>
        </is>
      </c>
      <c r="C24" s="8" t="inlineStr">
        <is>
          <t>追加 → 後処理 → JSON Extractor。</t>
        </is>
      </c>
      <c r="D24" s="8" t="inlineStr">
        <is>
          <t>Names of created variables: token
JSON Path expressions: $.access_token
Match No.: 1
Default Values: TOKEN_NOT_FOUND</t>
        </is>
      </c>
      <c r="E24" s="8" t="inlineStr">
        <is>
          <t>応答に access_token が無いと変数は TOKEN_NOT_FOUND。</t>
        </is>
      </c>
      <c r="F24" s="8" t="inlineStr">
        <is>
          <t>Default を空にすると、空トークンのまま次が 401 になり、原因が分かりにくい。</t>
        </is>
      </c>
      <c r="G24" s="8" t="inlineStr">
        <is>
          <t>下の枠</t>
        </is>
      </c>
    </row>
    <row r="25" ht="44" customHeight="1">
      <c r="A25" s="7" t="inlineStr">
        <is>
          <t>17</t>
        </is>
      </c>
      <c r="B25" s="7" t="inlineStr">
        <is>
          <t>HTTP_POST_loginを右クリック</t>
        </is>
      </c>
      <c r="C25" s="7" t="inlineStr">
        <is>
          <t>追加 → アサーション → 応答アサーション。</t>
        </is>
      </c>
      <c r="D25" s="7" t="inlineStr">
        <is>
          <t>Field to Test: 応答コード。Pattern Matching: 等しい。Patterns: 200。</t>
        </is>
      </c>
      <c r="E25" s="7" t="inlineStr">
        <is>
          <t>200 以外は赤い失敗になる。</t>
        </is>
      </c>
      <c r="F25" s="7" t="inlineStr">
        <is>
          <t>「含む」のまま 200 と書くと、2000 にも一致し得る。等しいにする。</t>
        </is>
      </c>
      <c r="G25" s="7" t="inlineStr"/>
    </row>
    <row r="26" ht="56" customHeight="1">
      <c r="A26" s="8" t="inlineStr">
        <is>
          <t>18</t>
        </is>
      </c>
      <c r="B26" s="8" t="inlineStr">
        <is>
          <t>スレッドグループを右クリック</t>
        </is>
      </c>
      <c r="C26" s="8" t="inlineStr">
        <is>
          <t>追加 → ロジックコントローラ → トランザクションコントローラ。</t>
        </is>
      </c>
      <c r="D26" s="8" t="inlineStr">
        <is>
          <t>名前 TX_検索。Generate parent sample はオフ。Include duration of timer は、待ちを取引時間に入れたいときだけオン。</t>
        </is>
      </c>
      <c r="E26" s="8" t="inlineStr">
        <is>
          <t>子の HTTP が個別に jtl へ出る。</t>
        </is>
      </c>
      <c r="F26" s="8" t="inlineStr">
        <is>
          <t>親サンプルをオンにすると、親と子の両方が出て二重計上しやすい。報告方針を先に決める。この手順はオフ。</t>
        </is>
      </c>
      <c r="G26" s="8" t="inlineStr"/>
    </row>
    <row r="27" ht="44" customHeight="1">
      <c r="A27" s="7" t="inlineStr">
        <is>
          <t>19</t>
        </is>
      </c>
      <c r="B27" s="7" t="inlineStr">
        <is>
          <t>TX_検索を右クリック</t>
        </is>
      </c>
      <c r="C27" s="7" t="inlineStr">
        <is>
          <t>追加 → サンプラー → HTTPリクエスト。</t>
        </is>
      </c>
      <c r="D27" s="7" t="inlineStr">
        <is>
          <t>名前 HTTP_GET_orders。メソッド GET。パス /api/orders。</t>
        </is>
      </c>
      <c r="E27" s="7" t="inlineStr">
        <is>
          <t>パラメータ q = ${keyword}。</t>
        </is>
      </c>
      <c r="F27" s="7" t="inlineStr">
        <is>
          <t>パスに日本語を直書きすると、エンコードの差でサーバが 400 を返すことがある。</t>
        </is>
      </c>
      <c r="G27" s="7" t="inlineStr"/>
    </row>
    <row r="28" ht="44" customHeight="1">
      <c r="A28" s="8" t="inlineStr">
        <is>
          <t>20</t>
        </is>
      </c>
      <c r="B28" s="8" t="inlineStr">
        <is>
          <t>TX_検索または GET のヘッダ</t>
        </is>
      </c>
      <c r="C28" s="8" t="inlineStr">
        <is>
          <t>このリクエストの子に HTTPヘッダマネージャを足す。</t>
        </is>
      </c>
      <c r="D28" s="8" t="inlineStr">
        <is>
          <t>名前 Authorization、値 Bearer ${token}</t>
        </is>
      </c>
      <c r="E28" s="8" t="inlineStr">
        <is>
          <t>ログインで取ったトークンが付く。</t>
        </is>
      </c>
      <c r="F28" s="8" t="inlineStr">
        <is>
          <t>テスト計画直下のヘッダに Bearer を書くと、ログインリクエストにも付く。</t>
        </is>
      </c>
      <c r="G28" s="8" t="inlineStr"/>
    </row>
    <row r="29" ht="44" customHeight="1">
      <c r="A29" s="7" t="inlineStr">
        <is>
          <t>21</t>
        </is>
      </c>
      <c r="B29" s="7" t="inlineStr">
        <is>
          <t>HTTP_GET_ordersを右クリック</t>
        </is>
      </c>
      <c r="C29" s="7" t="inlineStr">
        <is>
          <t>追加 → アサーション → 応答アサーション。</t>
        </is>
      </c>
      <c r="D29" s="7" t="inlineStr">
        <is>
          <t>応答コードが 200 と等しい。</t>
        </is>
      </c>
      <c r="E29" s="7" t="inlineStr">
        <is>
          <t>検索 API の成功がエラー率に反映される。</t>
        </is>
      </c>
      <c r="F29" s="7" t="inlineStr">
        <is>
          <t>本文の一部を「含む」で検査すると、文言変更で全件失敗する。コードを先に見る。</t>
        </is>
      </c>
      <c r="G29" s="7" t="inlineStr"/>
    </row>
    <row r="30" ht="44" customHeight="1">
      <c r="A30" s="8" t="inlineStr">
        <is>
          <t>22</t>
        </is>
      </c>
      <c r="B30" s="8" t="inlineStr">
        <is>
          <t>TX_検索を右クリック</t>
        </is>
      </c>
      <c r="C30" s="8" t="inlineStr">
        <is>
          <t>追加 → タイマ → 一様乱数タイマ。</t>
        </is>
      </c>
      <c r="D30" s="8" t="inlineStr">
        <is>
          <t>定数遅延 1000、ランダム遅延 2000（ミリ秒）。</t>
        </is>
      </c>
      <c r="E30" s="8" t="inlineStr">
        <is>
          <t>検索の前に 1〜3 秒待つ。</t>
        </is>
      </c>
      <c r="F30" s="8" t="inlineStr">
        <is>
          <t>スレッドグループ直下に置くと、ログインの前にも待ちが入る。TX_検索の子にする。</t>
        </is>
      </c>
      <c r="G30" s="8" t="inlineStr"/>
    </row>
    <row r="31" ht="44" customHeight="1">
      <c r="A31" s="7" t="inlineStr">
        <is>
          <t>23</t>
        </is>
      </c>
      <c r="B31" s="7" t="inlineStr">
        <is>
          <t>スレッドグループを右クリック</t>
        </is>
      </c>
      <c r="C31" s="7" t="inlineStr">
        <is>
          <t>追加 → リスナー → 結果をツリーで表示。</t>
        </is>
      </c>
      <c r="D31" s="7" t="inlineStr">
        <is>
          <t>名前は既定のままでよい。ファイル名は空。</t>
        </is>
      </c>
      <c r="E31" s="7" t="inlineStr">
        <is>
          <t>14 で 1 件ずつ見られる。</t>
        </is>
      </c>
      <c r="F31" s="7" t="inlineStr">
        <is>
          <t>Filename にパスを書くと、GUI がそこに巨大ファイルを書く。空のまま。</t>
        </is>
      </c>
      <c r="G31" s="7" t="inlineStr"/>
    </row>
    <row r="32" ht="32" customHeight="1">
      <c r="A32" s="8" t="inlineStr">
        <is>
          <t>24</t>
        </is>
      </c>
      <c r="B32" s="8" t="inlineStr">
        <is>
          <t>ファイルメニュー</t>
        </is>
      </c>
      <c r="C32" s="8" t="inlineStr">
        <is>
          <t>テスト計画に名前をつけて保存。</t>
        </is>
      </c>
      <c r="D32" s="8" t="inlineStr">
        <is>
          <t>C:\LoadTest\scenarios\order-search\order-search.jmx</t>
        </is>
      </c>
      <c r="E32" s="8" t="inlineStr">
        <is>
          <t>jmx ができる。</t>
        </is>
      </c>
      <c r="F32" s="8" t="inlineStr">
        <is>
          <t>bin フォルダや OneDrive に保存しない。</t>
        </is>
      </c>
      <c r="G32" s="8" t="inlineStr"/>
    </row>
    <row r="34" ht="22" customHeight="1">
      <c r="A34" s="14" t="inlineStr">
        <is>
          <t>IMG-14    画像差し込み枠    完成した左ツリー</t>
        </is>
      </c>
      <c r="B34" s="14" t="n"/>
      <c r="C34" s="14" t="n"/>
      <c r="D34" s="14" t="n"/>
      <c r="E34" s="14" t="n"/>
      <c r="F34" s="14" t="n"/>
      <c r="G34" s="14" t="n"/>
    </row>
    <row r="35" ht="148" customHeight="1">
      <c r="A3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24 の保存直前。
画角: このシート冒頭の木と同じ親子が、折りたたまない状態で読める。
文章は図の下に隠れてもよい。どの図かは 32_画像台帳 の IMG-14 を見る。</t>
        </is>
      </c>
      <c r="B35" s="15" t="n"/>
      <c r="C35" s="15" t="n"/>
      <c r="D35" s="15" t="n"/>
      <c r="E35" s="15" t="n"/>
      <c r="F35" s="15" t="n"/>
      <c r="G35" s="15" t="n"/>
    </row>
    <row r="36" ht="22" customHeight="1">
      <c r="A36" s="14" t="inlineStr">
        <is>
          <t>IMG-15    画像差し込み枠    スレッドグループの入力欄</t>
        </is>
      </c>
      <c r="B36" s="14" t="n"/>
      <c r="C36" s="14" t="n"/>
      <c r="D36" s="14" t="n"/>
      <c r="E36" s="14" t="n"/>
      <c r="F36" s="14" t="n"/>
      <c r="G36" s="14" t="n"/>
    </row>
    <row r="37" ht="148" customHeight="1">
      <c r="A3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9 のあと。
画角: スレッド数、Ramp-Up、無限ループ、スケジューラ、持続時間が 1 画面に入る。値は ${__P(...)} が見える。
文章は図の下に隠れてもよい。どの図かは 32_画像台帳 の IMG-15 を見る。</t>
        </is>
      </c>
      <c r="B37" s="15" t="n"/>
      <c r="C37" s="15" t="n"/>
      <c r="D37" s="15" t="n"/>
      <c r="E37" s="15" t="n"/>
      <c r="F37" s="15" t="n"/>
      <c r="G37" s="15" t="n"/>
    </row>
    <row r="38" ht="22" customHeight="1">
      <c r="A38" s="14" t="inlineStr">
        <is>
          <t>IMG-16    画像差し込み枠    HTTPリクエスト初期値</t>
        </is>
      </c>
      <c r="B38" s="14" t="n"/>
      <c r="C38" s="14" t="n"/>
      <c r="D38" s="14" t="n"/>
      <c r="E38" s="14" t="n"/>
      <c r="F38" s="14" t="n"/>
      <c r="G38" s="14" t="n"/>
    </row>
    <row r="39" ht="148" customHeight="1">
      <c r="A39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2 のあと。
画角: プロトコル、サーバ名、ポート。パスは空。
文章は図の下に隠れてもよい。どの図かは 32_画像台帳 の IMG-16 を見る。</t>
        </is>
      </c>
      <c r="B39" s="15" t="n"/>
      <c r="C39" s="15" t="n"/>
      <c r="D39" s="15" t="n"/>
      <c r="E39" s="15" t="n"/>
      <c r="F39" s="15" t="n"/>
      <c r="G39" s="15" t="n"/>
    </row>
    <row r="40" ht="22" customHeight="1">
      <c r="A40" s="14" t="inlineStr">
        <is>
          <t>IMG-17    画像差し込み枠    ログインの HTTP リクエスト</t>
        </is>
      </c>
      <c r="B40" s="14" t="n"/>
      <c r="C40" s="14" t="n"/>
      <c r="D40" s="14" t="n"/>
      <c r="E40" s="14" t="n"/>
      <c r="F40" s="14" t="n"/>
      <c r="G40" s="14" t="n"/>
    </row>
    <row r="41" ht="148" customHeight="1">
      <c r="A41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15 のあと。
画角: メソッド POST、パス、Body Data の JSON。パスワードの実値は写さない。${password} のままでよい。
文章は図の下に隠れてもよい。どの図かは 32_画像台帳 の IMG-17 を見る。</t>
        </is>
      </c>
      <c r="B41" s="15" t="n"/>
      <c r="C41" s="15" t="n"/>
      <c r="D41" s="15" t="n"/>
      <c r="E41" s="15" t="n"/>
      <c r="F41" s="15" t="n"/>
      <c r="G41" s="15" t="n"/>
    </row>
    <row r="42" ht="24" customHeight="1">
      <c r="A42" s="5" t="inlineStr">
        <is>
          <t>録音で下書きを作る場合</t>
        </is>
      </c>
      <c r="B42" s="5" t="n"/>
      <c r="C42" s="5" t="n"/>
      <c r="D42" s="5" t="n"/>
      <c r="E42" s="5" t="n"/>
      <c r="F42" s="5" t="n"/>
      <c r="G42" s="5" t="n"/>
    </row>
    <row r="43" ht="44" customHeight="1">
      <c r="A43" s="18" t="inlineStr">
        <is>
          <t>ブラウザ操作から下書きを作るときは、テスト計画 → 追加 → Non-Testエレメント → HTTP(S) Test Script Recorder。ポートは 8888、対象コントローラを先に作って指定する。開始すると bin に ApacheJMeterTemporaryRootCA.crt ができる。Windows の信頼されたルートへ入れる必要がある。ブラウザのプロキシを 127.0.0.1:8888 にして操作し、終わったら停止して静的ファイルを消す。会社のプロキシとぶつかる。証明書のインストールが禁止なら録音は使わず、このシートの手入力で作る。録音は作成用であり、負荷実行の方法ではない。</t>
        </is>
      </c>
      <c r="B43" s="18" t="n"/>
      <c r="C43" s="18" t="n"/>
      <c r="D43" s="18" t="n"/>
      <c r="E43" s="18" t="n"/>
      <c r="F43" s="18" t="n"/>
      <c r="G43" s="18" t="n"/>
    </row>
  </sheetData>
  <mergeCells count="17">
    <mergeCell ref="A36:G36"/>
    <mergeCell ref="A1:G1"/>
    <mergeCell ref="A40:G40"/>
    <mergeCell ref="A3:G3"/>
    <mergeCell ref="A6:G6"/>
    <mergeCell ref="A39:G39"/>
    <mergeCell ref="A34:G34"/>
    <mergeCell ref="A35:G35"/>
    <mergeCell ref="A4:G4"/>
    <mergeCell ref="A38:G38"/>
    <mergeCell ref="A2:G2"/>
    <mergeCell ref="A7:G7"/>
    <mergeCell ref="A42:G42"/>
    <mergeCell ref="A43:G43"/>
    <mergeCell ref="A41:G41"/>
    <mergeCell ref="A5:G5"/>
    <mergeCell ref="A37:G37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4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データ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CSV でユーザを渡し、応答からトークンを受け渡す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プロパティ（-J）と変数（CSV や抽出）は別物。ここは変数。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users.csv を作る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手順</t>
        </is>
      </c>
      <c r="B7" s="6" t="inlineStr">
        <is>
          <t>どこで</t>
        </is>
      </c>
      <c r="C7" s="6" t="inlineStr">
        <is>
          <t>操作</t>
        </is>
      </c>
      <c r="D7" s="6" t="inlineStr">
        <is>
          <t>入力する値</t>
        </is>
      </c>
      <c r="E7" s="6" t="inlineStr">
        <is>
          <t>うまくいったときの見え方</t>
        </is>
      </c>
      <c r="F7" s="6" t="inlineStr">
        <is>
          <t>つまずきやすい点</t>
        </is>
      </c>
      <c r="G7" s="6" t="inlineStr">
        <is>
          <t>画像</t>
        </is>
      </c>
    </row>
    <row r="8" ht="32" customHeight="1">
      <c r="A8" s="7" t="inlineStr">
        <is>
          <t>1</t>
        </is>
      </c>
      <c r="B8" s="7" t="inlineStr">
        <is>
          <t>Excel</t>
        </is>
      </c>
      <c r="C8" s="7" t="inlineStr">
        <is>
          <t>1 行目に列名、2 行目以降に試験用アカウントを書く。</t>
        </is>
      </c>
      <c r="D8" s="7" t="inlineStr">
        <is>
          <t>user, password, keyword
user01, Passw0rd-example, book</t>
        </is>
      </c>
      <c r="E8" s="7" t="inlineStr">
        <is>
          <t>列名に空白や全角括弧が無い。</t>
        </is>
      </c>
      <c r="F8" s="7" t="inlineStr">
        <is>
          <t>本番のパスワードや個人名を入れない。試験用の語にする。</t>
        </is>
      </c>
      <c r="G8" s="7" t="inlineStr"/>
    </row>
    <row r="9" ht="44" customHeight="1">
      <c r="A9" s="8" t="inlineStr">
        <is>
          <t>2</t>
        </is>
      </c>
      <c r="B9" s="8" t="inlineStr">
        <is>
          <t>Excel</t>
        </is>
      </c>
      <c r="C9" s="8" t="inlineStr">
        <is>
          <t>名前を付けて保存で CSV UTF-8 を選ぶ。</t>
        </is>
      </c>
      <c r="D9" s="8" t="inlineStr">
        <is>
          <t>C:\LoadTest\scenarios\order-search\users.csv</t>
        </is>
      </c>
      <c r="E9" s="8" t="inlineStr">
        <is>
          <t>jmx と同じフォルダ。</t>
        </is>
      </c>
      <c r="F9" s="8" t="inlineStr">
        <is>
          <t>「CSV（コンマ区切り）」だけだと Shift_JIS になり、Linux 上の JMeter が日本語を壊す。</t>
        </is>
      </c>
      <c r="G9" s="8" t="inlineStr"/>
    </row>
    <row r="10" ht="44" customHeight="1">
      <c r="A10" s="7" t="inlineStr">
        <is>
          <t>3</t>
        </is>
      </c>
      <c r="B10" s="7" t="inlineStr">
        <is>
          <t>メモ帳</t>
        </is>
      </c>
      <c r="C10" s="7" t="inlineStr">
        <is>
          <t>先頭の列名の前に見えない文字（BOM）が無いか確認する。疑わしいときは UTF-8（BOM 無し）で保存し直す。</t>
        </is>
      </c>
      <c r="D10" s="7" t="inlineStr">
        <is>
          <t>1 行目が user で始まる。</t>
        </is>
      </c>
      <c r="E10" s="7" t="inlineStr">
        <is>
          <t>JMeter の変数名が user になる。</t>
        </is>
      </c>
      <c r="F10" s="7" t="inlineStr">
        <is>
          <t>BOM が付くと変数名が user ではなくなり、${user} が置換されない。</t>
        </is>
      </c>
      <c r="G10" s="7" t="inlineStr"/>
    </row>
    <row r="11" ht="80" customHeight="1">
      <c r="A11" s="8" t="inlineStr">
        <is>
          <t>4</t>
        </is>
      </c>
      <c r="B11" s="8" t="inlineStr">
        <is>
          <t>CSV Data Set Config</t>
        </is>
      </c>
      <c r="C11" s="8" t="inlineStr">
        <is>
          <t>ファイル名、エンコーディング、共有、末尾の動作を入れる。</t>
        </is>
      </c>
      <c r="D11" s="8" t="inlineStr">
        <is>
          <t>Filename: users.csv
File encoding: UTF-8
Sharing mode: All threads
Recycle on EOF: True
Stop thread on EOF: False</t>
        </is>
      </c>
      <c r="E11" s="8" t="inlineStr">
        <is>
          <t>相対パスは jmx のあるフォルダから解決される。</t>
        </is>
      </c>
      <c r="F11" s="8" t="inlineStr">
        <is>
          <t>Ignore first line を false のまま、1 行目をデータとして読んでしまう設定にしない。列名行は「先頭行を変数名として読む」動作に任せる。Allow quoted data は True。</t>
        </is>
      </c>
      <c r="G11" s="8" t="inlineStr">
        <is>
          <t>下の枠</t>
        </is>
      </c>
    </row>
    <row r="12" ht="44" customHeight="1">
      <c r="A12" s="7" t="inlineStr">
        <is>
          <t>5</t>
        </is>
      </c>
      <c r="B12" s="7" t="inlineStr">
        <is>
          <t>使い回し</t>
        </is>
      </c>
      <c r="C12" s="7" t="inlineStr">
        <is>
          <t>行数より試行回数が多いときの方針を決める。</t>
        </is>
      </c>
      <c r="D12" s="7" t="inlineStr">
        <is>
          <t>使い回してよい試験: Recycle True。1 行を 1 人だけに使いたい試験: Recycle False、Stop thread on EOF True。</t>
        </is>
      </c>
      <c r="E12" s="7" t="inlineStr">
        <is>
          <t>方針をレポートの条件に 1 文書く。</t>
        </is>
      </c>
      <c r="F12" s="7" t="inlineStr">
        <is>
          <t>行が尽きたあとも空の変数でリクエストし続け、400 の山を作る。</t>
        </is>
      </c>
      <c r="G12" s="7" t="inlineStr"/>
    </row>
    <row r="14" ht="22" customHeight="1">
      <c r="A14" s="14" t="inlineStr">
        <is>
          <t>IMG-18    画像差し込み枠    CSV Data Set Config の入力欄</t>
        </is>
      </c>
      <c r="B14" s="14" t="n"/>
      <c r="C14" s="14" t="n"/>
      <c r="D14" s="14" t="n"/>
      <c r="E14" s="14" t="n"/>
      <c r="F14" s="14" t="n"/>
      <c r="G14" s="14" t="n"/>
    </row>
    <row r="15" ht="148" customHeight="1">
      <c r="A1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4 のあと。
画角: Filename が users.csv で、絶対パスではない。Encoding が UTF-8。Sharing mode が見える。
文章は図の下に隠れてもよい。どの図かは 32_画像台帳 の IMG-18 を見る。</t>
        </is>
      </c>
      <c r="B15" s="15" t="n"/>
      <c r="C15" s="15" t="n"/>
      <c r="D15" s="15" t="n"/>
      <c r="E15" s="15" t="n"/>
      <c r="F15" s="15" t="n"/>
      <c r="G15" s="15" t="n"/>
    </row>
    <row r="16" ht="24" customHeight="1">
      <c r="A16" s="5" t="inlineStr">
        <is>
          <t>トークンの受け渡し</t>
        </is>
      </c>
      <c r="B16" s="5" t="n"/>
      <c r="C16" s="5" t="n"/>
      <c r="D16" s="5" t="n"/>
      <c r="E16" s="5" t="n"/>
      <c r="F16" s="5" t="n"/>
      <c r="G16" s="5" t="n"/>
    </row>
    <row r="17" ht="44" customHeight="1">
      <c r="A17" s="18" t="inlineStr">
        <is>
          <t>ログインの JSON Extractor が token という変数を、そのスレッドだけに作る。次のリクエストのヘッダ Authorization の値を Bearer ${token} にする。他のスレッドのトークンは見えない。これが正しい。
${__P(threads,1)} はプロパティで、CSV では作れない。逆に ${token} を -Jtoken= で渡しても、抽出結果では上書きされるので、トークンをコマンドラインで渡す設計にはしない。</t>
        </is>
      </c>
      <c r="B17" s="18" t="n"/>
      <c r="C17" s="18" t="n"/>
      <c r="D17" s="18" t="n"/>
      <c r="E17" s="18" t="n"/>
      <c r="F17" s="18" t="n"/>
      <c r="G17" s="18" t="n"/>
    </row>
    <row r="18" ht="28" customHeight="1">
      <c r="A18" s="6" t="inlineStr">
        <is>
          <t>確認</t>
        </is>
      </c>
      <c r="B18" s="6" t="inlineStr">
        <is>
          <t>どこを見る</t>
        </is>
      </c>
      <c r="C18" s="6" t="inlineStr">
        <is>
          <t>期待</t>
        </is>
      </c>
      <c r="D18" s="6" t="inlineStr">
        <is>
          <t>失敗の見え方</t>
        </is>
      </c>
      <c r="E18" s="6" t="inlineStr">
        <is>
          <t>直し方</t>
        </is>
      </c>
      <c r="F18" s="6" t="inlineStr"/>
      <c r="G18" s="6" t="inlineStr"/>
    </row>
    <row r="19" ht="32" customHeight="1">
      <c r="A19" s="7" t="inlineStr">
        <is>
          <t>変数が置換された</t>
        </is>
      </c>
      <c r="B19" s="7" t="inlineStr">
        <is>
          <t>結果ツリー → リクエスト → Request Body</t>
        </is>
      </c>
      <c r="C19" s="7" t="inlineStr">
        <is>
          <t>user01 など CSV の値が入っている。${user} という文字が残っていない。</t>
        </is>
      </c>
      <c r="D19" s="7" t="inlineStr">
        <is>
          <t>本文に ${user} が残る。</t>
        </is>
      </c>
      <c r="E19" s="7" t="inlineStr">
        <is>
          <t>列名と変数名の不一致、BOM、CSV が jmx の隣に無い。</t>
        </is>
      </c>
      <c r="F19" s="7" t="inlineStr"/>
      <c r="G19" s="7" t="inlineStr"/>
    </row>
    <row r="20" ht="44" customHeight="1">
      <c r="A20" s="8" t="inlineStr">
        <is>
          <t>トークンが取れた</t>
        </is>
      </c>
      <c r="B20" s="8" t="inlineStr">
        <is>
          <t>結果ツリー → HTTP_POST_login の次のリクエストのヘッダ</t>
        </is>
      </c>
      <c r="C20" s="8" t="inlineStr">
        <is>
          <t>Bearer の後に TOKEN_NOT_FOUND 以外の文字列。</t>
        </is>
      </c>
      <c r="D20" s="8" t="inlineStr">
        <is>
          <t>Bearer TOKEN_NOT_FOUND または Bearer ${token}。</t>
        </is>
      </c>
      <c r="E20" s="8" t="inlineStr">
        <is>
          <t>JSON Path が応答と違う。応答の実物をツリーで見て Path を直す。</t>
        </is>
      </c>
      <c r="F20" s="8" t="inlineStr"/>
      <c r="G20" s="8" t="inlineStr"/>
    </row>
    <row r="21" ht="56" customHeight="1">
      <c r="A21" s="7" t="inlineStr">
        <is>
          <t>パスがサーバで解決される</t>
        </is>
      </c>
      <c r="B21" s="7" t="inlineStr">
        <is>
          <t>jmx を Linux の plans/order-search へ置いたあと、同じ階層に users.csv がある</t>
        </is>
      </c>
      <c r="C21" s="7" t="inlineStr">
        <is>
          <t>CLI が CSV を開く。</t>
        </is>
      </c>
      <c r="D21" s="7" t="inlineStr">
        <is>
          <t>jmeter.log に FileNotFound。</t>
        </is>
      </c>
      <c r="E21" s="7" t="inlineStr">
        <is>
          <t>フォルダ階層を端末と揃える。絶対パスにしない。</t>
        </is>
      </c>
      <c r="F21" s="7" t="inlineStr"/>
      <c r="G21" s="7" t="inlineStr"/>
    </row>
    <row r="23" ht="22" customHeight="1">
      <c r="A23" s="14" t="inlineStr">
        <is>
          <t>IMG-19    画像差し込み枠    JSON Extractor の 4 欄</t>
        </is>
      </c>
      <c r="B23" s="14" t="n"/>
      <c r="C23" s="14" t="n"/>
      <c r="D23" s="14" t="n"/>
      <c r="E23" s="14" t="n"/>
      <c r="F23" s="14" t="n"/>
      <c r="G23" s="14" t="n"/>
    </row>
    <row r="24" ht="148" customHeight="1">
      <c r="A2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ログインリクエストの子として設定したあと。
画角: 変数名、JSON Path、Match No.、Default Values の 4 つが読める。実トークンは写さない。
文章は図の下に隠れてもよい。どの図かは 32_画像台帳 の IMG-19 を見る。</t>
        </is>
      </c>
      <c r="B24" s="15" t="n"/>
      <c r="C24" s="15" t="n"/>
      <c r="D24" s="15" t="n"/>
      <c r="E24" s="15" t="n"/>
      <c r="F24" s="15" t="n"/>
      <c r="G24" s="15" t="n"/>
    </row>
  </sheetData>
  <mergeCells count="12">
    <mergeCell ref="A14:G14"/>
    <mergeCell ref="A1:G1"/>
    <mergeCell ref="A17:G17"/>
    <mergeCell ref="A3:G3"/>
    <mergeCell ref="A6:G6"/>
    <mergeCell ref="A4:G4"/>
    <mergeCell ref="A24:G24"/>
    <mergeCell ref="A2:G2"/>
    <mergeCell ref="A16:G16"/>
    <mergeCell ref="A15:G15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3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GUI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1 人だけで流して、成功を目で見る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公式の Getting Started は、GUI はシナリオ作成用、負荷試験は CLI、と書いている。ここは作成の確認。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32" customHeight="1">
      <c r="A7" s="7" t="inlineStr">
        <is>
          <t>1</t>
        </is>
      </c>
      <c r="B7" s="7" t="inlineStr">
        <is>
          <t>保存</t>
        </is>
      </c>
      <c r="C7" s="7" t="inlineStr">
        <is>
          <t>実行の前に jmx を保存する。</t>
        </is>
      </c>
      <c r="D7" s="7" t="inlineStr">
        <is>
          <t>Ctrl+S。</t>
        </is>
      </c>
      <c r="E7" s="7" t="inlineStr">
        <is>
          <t>タイトルバーに * が無い。</t>
        </is>
      </c>
      <c r="F7" s="7" t="inlineStr">
        <is>
          <t>未保存のまま実行すると、落ちたときにシナリオが消える。</t>
        </is>
      </c>
      <c r="G7" s="7" t="inlineStr"/>
    </row>
    <row r="8" ht="44" customHeight="1">
      <c r="A8" s="8" t="inlineStr">
        <is>
          <t>2</t>
        </is>
      </c>
      <c r="B8" s="8" t="inlineStr">
        <is>
          <t>人数の確認</t>
        </is>
      </c>
      <c r="C8" s="8" t="inlineStr">
        <is>
          <t>スレッドグループを開き、人数がプロパティの既定 1 であることを確認する。</t>
        </is>
      </c>
      <c r="D8" s="8" t="inlineStr">
        <is>
          <t>${__P(threads,1)} のまま。-J は GUI では付けない。</t>
        </is>
      </c>
      <c r="E8" s="8" t="inlineStr">
        <is>
          <t>1 人、Ramp-Up 1 秒、持続 60 秒。</t>
        </is>
      </c>
      <c r="F8" s="8" t="inlineStr">
        <is>
          <t>欄を 50 に書き換えて緑の三角を押さない。</t>
        </is>
      </c>
      <c r="G8" s="8" t="inlineStr"/>
    </row>
    <row r="9" ht="56" customHeight="1">
      <c r="A9" s="7" t="inlineStr">
        <is>
          <t>3</t>
        </is>
      </c>
      <c r="B9" s="7" t="inlineStr">
        <is>
          <t>リスナー</t>
        </is>
      </c>
      <c r="C9" s="7" t="inlineStr">
        <is>
          <t>結果をツリーで表示 が有効（グレーではない）であることを確認する。他のグラフ用リスナーは無効。</t>
        </is>
      </c>
      <c r="D9" s="7" t="inlineStr">
        <is>
          <t>ツリーだけ有効。</t>
        </is>
      </c>
      <c r="E9" s="7" t="inlineStr">
        <is>
          <t>左のツリーでリスナーが黒字。</t>
        </is>
      </c>
      <c r="F9" s="7" t="inlineStr">
        <is>
          <t>統計レポートを開いたままにすると、少ない件数なら動くが、癖になる。デバッグはツリーに一本化する。</t>
        </is>
      </c>
      <c r="G9" s="7" t="inlineStr"/>
    </row>
    <row r="10" ht="32" customHeight="1">
      <c r="A10" s="8" t="inlineStr">
        <is>
          <t>4</t>
        </is>
      </c>
      <c r="B10" s="8" t="inlineStr">
        <is>
          <t>消去</t>
        </is>
      </c>
      <c r="C10" s="8" t="inlineStr">
        <is>
          <t>前の実行結果が残っていたら消す。</t>
        </is>
      </c>
      <c r="D10" s="8" t="inlineStr">
        <is>
          <t>実行 → 全て消去（Ctrl+Shift+E）。</t>
        </is>
      </c>
      <c r="E10" s="8" t="inlineStr">
        <is>
          <t>ツリーが空になる。jmx は残る。</t>
        </is>
      </c>
      <c r="F10" s="8" t="inlineStr">
        <is>
          <t>全て消去はシナリオの削除ではない。</t>
        </is>
      </c>
      <c r="G10" s="8" t="inlineStr"/>
    </row>
    <row r="11" ht="44" customHeight="1">
      <c r="A11" s="7" t="inlineStr">
        <is>
          <t>5</t>
        </is>
      </c>
      <c r="B11" s="7" t="inlineStr">
        <is>
          <t>開始</t>
        </is>
      </c>
      <c r="C11" s="7" t="inlineStr">
        <is>
          <t>ツールバーの緑の三角（開始）を押す。</t>
        </is>
      </c>
      <c r="D11" s="7" t="inlineStr">
        <is>
          <t>メニューなら 実行 → 開始。</t>
        </is>
      </c>
      <c r="E11" s="7" t="inlineStr">
        <is>
          <t>右上に緑の表示が出て、件数が増える。</t>
        </is>
      </c>
      <c r="F11" s="7" t="inlineStr">
        <is>
          <t>開始（タイマを無視）は待ち時間を飛ばす確認用。思考時間の確認では使わない。</t>
        </is>
      </c>
      <c r="G11" s="7" t="inlineStr">
        <is>
          <t>下の枠</t>
        </is>
      </c>
    </row>
    <row r="12" ht="56" customHeight="1">
      <c r="A12" s="8" t="inlineStr">
        <is>
          <t>6</t>
        </is>
      </c>
      <c r="B12" s="8" t="inlineStr">
        <is>
          <t>停止の判断</t>
        </is>
      </c>
      <c r="C12" s="8" t="inlineStr">
        <is>
          <t>60 秒待つか、ログインと検索が 1 回ずつ成功したら止めてよい。</t>
        </is>
      </c>
      <c r="D12" s="8" t="inlineStr">
        <is>
          <t>シャットダウン（Shutdown）を使う。赤の停止は、応答が返らず固まったとき。</t>
        </is>
      </c>
      <c r="E12" s="8" t="inlineStr">
        <is>
          <t>件数の増加が止まる。</t>
        </is>
      </c>
      <c r="F12" s="8" t="inlineStr">
        <is>
          <t>停止したあとに、停止状態のまま保存して、次に開始できないことがある。もう一度開始できるか見る。</t>
        </is>
      </c>
      <c r="G12" s="8" t="inlineStr"/>
    </row>
    <row r="13" ht="44" customHeight="1">
      <c r="A13" s="7" t="inlineStr">
        <is>
          <t>7</t>
        </is>
      </c>
      <c r="B13" s="7" t="inlineStr">
        <is>
          <t>1 件目</t>
        </is>
      </c>
      <c r="C13" s="7" t="inlineStr">
        <is>
          <t>結果ツリーで HTTP_POST_login をクリックする。</t>
        </is>
      </c>
      <c r="D13" s="7" t="inlineStr">
        <is>
          <t>緑のチェック。応答コード 200。</t>
        </is>
      </c>
      <c r="E13" s="7" t="inlineStr">
        <is>
          <t>Sampler result に 200。</t>
        </is>
      </c>
      <c r="F13" s="7" t="inlineStr">
        <is>
          <t>赤い三角なら、応答コードと Response data を読む。人数は増やさない。</t>
        </is>
      </c>
      <c r="G13" s="7" t="inlineStr">
        <is>
          <t>下の枠</t>
        </is>
      </c>
    </row>
    <row r="14" ht="22" customHeight="1">
      <c r="A14" s="8" t="inlineStr">
        <is>
          <t>8</t>
        </is>
      </c>
      <c r="B14" s="8" t="inlineStr">
        <is>
          <t>リクエスト本文</t>
        </is>
      </c>
      <c r="C14" s="8" t="inlineStr">
        <is>
          <t>Request タブを開く。</t>
        </is>
      </c>
      <c r="D14" s="8" t="inlineStr">
        <is>
          <t>CSV のユーザが入っている。</t>
        </is>
      </c>
      <c r="E14" s="8" t="inlineStr">
        <is>
          <t>${user} が残っていない。</t>
        </is>
      </c>
      <c r="F14" s="8" t="inlineStr">
        <is>
          <t>残っていたら 13 へ戻る。</t>
        </is>
      </c>
      <c r="G14" s="8" t="inlineStr"/>
    </row>
    <row r="15" ht="44" customHeight="1">
      <c r="A15" s="7" t="inlineStr">
        <is>
          <t>9</t>
        </is>
      </c>
      <c r="B15" s="7" t="inlineStr">
        <is>
          <t>次のリクエスト</t>
        </is>
      </c>
      <c r="C15" s="7" t="inlineStr">
        <is>
          <t>HTTP_GET_orders の Request ヘッダを見る。</t>
        </is>
      </c>
      <c r="D15" s="7" t="inlineStr">
        <is>
          <t>Authorization: Bearer のあとが TOKEN_NOT_FOUND ではない。</t>
        </is>
      </c>
      <c r="E15" s="7" t="inlineStr">
        <is>
          <t>検索も緑。</t>
        </is>
      </c>
      <c r="F15" s="7" t="inlineStr">
        <is>
          <t>401 ならトークンの Path か、ヘッダを付けた場所がログインより前。</t>
        </is>
      </c>
      <c r="G15" s="7" t="inlineStr"/>
    </row>
    <row r="16" ht="32" customHeight="1">
      <c r="A16" s="8" t="inlineStr">
        <is>
          <t>10</t>
        </is>
      </c>
      <c r="B16" s="8" t="inlineStr">
        <is>
          <t>応答時間の目安</t>
        </is>
      </c>
      <c r="C16" s="8" t="inlineStr">
        <is>
          <t>Sampler result の Load time（elapsed）を見る。</t>
        </is>
      </c>
      <c r="D16" s="8" t="inlineStr">
        <is>
          <t>この環境で何ミリ秒だったかをメモする。合格判定には使わない。</t>
        </is>
      </c>
      <c r="E16" s="8" t="inlineStr">
        <is>
          <t>1 件の値が分かる。</t>
        </is>
      </c>
      <c r="F16" s="8" t="inlineStr">
        <is>
          <t>1 件の値を「性能」として報告しない。</t>
        </is>
      </c>
      <c r="G16" s="8" t="inlineStr"/>
    </row>
    <row r="17" ht="56" customHeight="1">
      <c r="A17" s="7" t="inlineStr">
        <is>
          <t>11</t>
        </is>
      </c>
      <c r="B17" s="7" t="inlineStr">
        <is>
          <t>保存</t>
        </is>
      </c>
      <c r="C17" s="7" t="inlineStr">
        <is>
          <t>直したら保存する。</t>
        </is>
      </c>
      <c r="D17" s="7" t="inlineStr">
        <is>
          <t>Ctrl+S。</t>
        </is>
      </c>
      <c r="E17" s="7" t="inlineStr">
        <is>
          <t>jmx が更新される。</t>
        </is>
      </c>
      <c r="F17" s="7" t="inlineStr">
        <is>
          <t>結果ツリーを有効なまま、このファイルを負荷用の正とすると危ない。17 で無効化してから転送用に保存する。</t>
        </is>
      </c>
      <c r="G17" s="7" t="inlineStr"/>
    </row>
    <row r="19" ht="22" customHeight="1">
      <c r="A19" s="14" t="inlineStr">
        <is>
          <t>IMG-20    画像差し込み枠    開始ボタンを押した直後の全体</t>
        </is>
      </c>
      <c r="B19" s="14" t="n"/>
      <c r="C19" s="14" t="n"/>
      <c r="D19" s="14" t="n"/>
      <c r="E19" s="14" t="n"/>
      <c r="F19" s="14" t="n"/>
      <c r="G19" s="14" t="n"/>
    </row>
    <row r="20" ht="148" customHeight="1">
      <c r="A20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件数が 1 以上になり、まだ実行中か、終わった直後。
画角: 緑の三角の位置と、右上の実行中表示、左ツリーの結果ツリーが見える。
文章は図の下に隠れてもよい。どの図かは 32_画像台帳 の IMG-20 を見る。</t>
        </is>
      </c>
      <c r="B20" s="15" t="n"/>
      <c r="C20" s="15" t="n"/>
      <c r="D20" s="15" t="n"/>
      <c r="E20" s="15" t="n"/>
      <c r="F20" s="15" t="n"/>
      <c r="G20" s="15" t="n"/>
    </row>
    <row r="21" ht="22" customHeight="1">
      <c r="A21" s="14" t="inlineStr">
        <is>
          <t>IMG-21    画像差し込み枠    結果ツリーでログインが緑の画面</t>
        </is>
      </c>
      <c r="B21" s="14" t="n"/>
      <c r="C21" s="14" t="n"/>
      <c r="D21" s="14" t="n"/>
      <c r="E21" s="14" t="n"/>
      <c r="F21" s="14" t="n"/>
      <c r="G21" s="14" t="n"/>
    </row>
    <row r="22" ht="148" customHeight="1">
      <c r="A22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Sampler result タブ。
画角: サンプル名、応答コード 200、Load time が見える。トークンやパスワードの本文は写さない。Response data は畳む。
文章は図の下に隠れてもよい。どの図かは 32_画像台帳 の IMG-21 を見る。</t>
        </is>
      </c>
      <c r="B22" s="15" t="n"/>
      <c r="C22" s="15" t="n"/>
      <c r="D22" s="15" t="n"/>
      <c r="E22" s="15" t="n"/>
      <c r="F22" s="15" t="n"/>
      <c r="G22" s="15" t="n"/>
    </row>
    <row r="23" ht="28" customHeight="1">
      <c r="A23" s="18" t="inlineStr">
        <is>
          <t>検証（Validate）ボタンは、スレッドグループを短く確認するためのもの。待ち時間の確認や、プロパティ既定どおりの 60 秒の確認には、開始を使う。Validate の結果だけで転送しない。</t>
        </is>
      </c>
      <c r="B23" s="18" t="n"/>
      <c r="C23" s="18" t="n"/>
      <c r="D23" s="18" t="n"/>
      <c r="E23" s="18" t="n"/>
      <c r="F23" s="18" t="n"/>
      <c r="G23" s="18" t="n"/>
    </row>
  </sheetData>
  <mergeCells count="10">
    <mergeCell ref="A1:G1"/>
    <mergeCell ref="A3:G3"/>
    <mergeCell ref="A21:G21"/>
    <mergeCell ref="A22:G22"/>
    <mergeCell ref="A4:G4"/>
    <mergeCell ref="A20:G20"/>
    <mergeCell ref="A2:G2"/>
    <mergeCell ref="A19:G19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6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GUI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画面の結果を、何の判断に使ってよいか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GUI の数字はデバッグ用。提出用の数字は CLI の statistics.json と jtl。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画面</t>
        </is>
      </c>
      <c r="B6" s="6" t="inlineStr">
        <is>
          <t>開く場所</t>
        </is>
      </c>
      <c r="C6" s="6" t="inlineStr">
        <is>
          <t>見る欄</t>
        </is>
      </c>
      <c r="D6" s="6" t="inlineStr">
        <is>
          <t>判断してよいこと</t>
        </is>
      </c>
      <c r="E6" s="6" t="inlineStr">
        <is>
          <t>判断してはいけないこと</t>
        </is>
      </c>
      <c r="F6" s="6" t="inlineStr">
        <is>
          <t>その後</t>
        </is>
      </c>
      <c r="G6" s="6" t="inlineStr"/>
    </row>
    <row r="7" ht="32" customHeight="1">
      <c r="A7" s="7" t="inlineStr">
        <is>
          <t>結果をツリーで表示</t>
        </is>
      </c>
      <c r="B7" s="7" t="inlineStr">
        <is>
          <t>リスナーをクリック</t>
        </is>
      </c>
      <c r="C7" s="7" t="inlineStr">
        <is>
          <t>緑か赤か。応答コード。Request。Response data。</t>
        </is>
      </c>
      <c r="D7" s="7" t="inlineStr">
        <is>
          <t>その 1 件が機能的に成功したか。変数が入ったか。</t>
        </is>
      </c>
      <c r="E7" s="7" t="inlineStr">
        <is>
          <t>平均応答時間、スループット、同時ユーザ耐性。</t>
        </is>
      </c>
      <c r="F7" s="7" t="inlineStr">
        <is>
          <t>原因を直してからもう一度 1 人で実行。</t>
        </is>
      </c>
      <c r="G7" s="7" t="inlineStr">
        <is>
          <t>下の枠</t>
        </is>
      </c>
    </row>
    <row r="8" ht="32" customHeight="1">
      <c r="A8" s="8" t="inlineStr">
        <is>
          <t>Sampler result</t>
        </is>
      </c>
      <c r="B8" s="8" t="inlineStr">
        <is>
          <t>ツリーの中のタブ</t>
        </is>
      </c>
      <c r="C8" s="8" t="inlineStr">
        <is>
          <t>Thread Name、Load time、Latency、Connect、bytes。</t>
        </is>
      </c>
      <c r="D8" s="8" t="inlineStr">
        <is>
          <t>失敗が接続（Connect）なのか、処理（Latency 以降）なのかの当たり。</t>
        </is>
      </c>
      <c r="E8" s="8" t="inlineStr">
        <is>
          <t>パーセンタイル。</t>
        </is>
      </c>
      <c r="F8" s="8" t="inlineStr">
        <is>
          <t>メモだけ残す。</t>
        </is>
      </c>
      <c r="G8" s="8" t="inlineStr"/>
    </row>
    <row r="9" ht="44" customHeight="1">
      <c r="A9" s="7" t="inlineStr">
        <is>
          <t>統計レポート</t>
        </is>
      </c>
      <c r="B9" s="7" t="inlineStr">
        <is>
          <t>追加してある場合</t>
        </is>
      </c>
      <c r="C9" s="7" t="inlineStr">
        <is>
          <t>平均、中央値、90% Line、95% Line、99% Line、エラー%、スループット。</t>
        </is>
      </c>
      <c r="D9" s="7" t="inlineStr">
        <is>
          <t>数件のデバッグで、桁がおかしくないか。</t>
        </is>
      </c>
      <c r="E9" s="7" t="inlineStr">
        <is>
          <t>提出値。件数が多いと GUI が重く、値も落ちる。</t>
        </is>
      </c>
      <c r="F9" s="7" t="inlineStr">
        <is>
          <t>見たら無効に戻す。</t>
        </is>
      </c>
      <c r="G9" s="7" t="inlineStr">
        <is>
          <t>下の枠</t>
        </is>
      </c>
    </row>
    <row r="10" ht="44" customHeight="1">
      <c r="A10" s="8" t="inlineStr">
        <is>
          <t>集計レポート</t>
        </is>
      </c>
      <c r="B10" s="8" t="inlineStr">
        <is>
          <t>追加してある場合</t>
        </is>
      </c>
      <c r="C10" s="8" t="inlineStr">
        <is>
          <t>平均、最小、最大、エラー率。パーセンタイル列は統計レポートより少ない。</t>
        </is>
      </c>
      <c r="D10" s="8" t="inlineStr">
        <is>
          <t>エラーが混ざっていないかの概観。</t>
        </is>
      </c>
      <c r="E10" s="8" t="inlineStr">
        <is>
          <t>95% 値。この画面には薄い。</t>
        </is>
      </c>
      <c r="F10" s="8" t="inlineStr">
        <is>
          <t>提出に使わない。</t>
        </is>
      </c>
      <c r="G10" s="8" t="inlineStr"/>
    </row>
    <row r="11" ht="32" customHeight="1">
      <c r="A11" s="7" t="inlineStr">
        <is>
          <t>HTML レポート生成</t>
        </is>
      </c>
      <c r="B11" s="7" t="inlineStr">
        <is>
          <t>ツール → Generate HTML report</t>
        </is>
      </c>
      <c r="C11" s="7" t="inlineStr">
        <is>
          <t>結果ファイル、user.properties、空の出力フォルダ。</t>
        </is>
      </c>
      <c r="D11" s="7" t="inlineStr">
        <is>
          <t>手元の小さい jtl でレポートの見方を練習すること。</t>
        </is>
      </c>
      <c r="E11" s="7" t="inlineStr">
        <is>
          <t>GUI で流した数件を、負荷試験の報告書にすること。</t>
        </is>
      </c>
      <c r="F11" s="7" t="inlineStr">
        <is>
          <t>本番の HTML は Linux の -e -o で作る。</t>
        </is>
      </c>
      <c r="G11" s="7" t="inlineStr"/>
    </row>
    <row r="13" ht="22" customHeight="1">
      <c r="A13" s="14" t="inlineStr">
        <is>
          <t>IMG-22    画像差し込み枠    結果ツリーの Request タブ</t>
        </is>
      </c>
      <c r="B13" s="14" t="n"/>
      <c r="C13" s="14" t="n"/>
      <c r="D13" s="14" t="n"/>
      <c r="E13" s="14" t="n"/>
      <c r="F13" s="14" t="n"/>
      <c r="G13" s="14" t="n"/>
    </row>
    <row r="14" ht="148" customHeight="1">
      <c r="A1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変数が置換されたリクエスト。
画角: URL とヘッダ名が見える。Authorization の値は隠す。
文章は図の下に隠れてもよい。どの図かは 32_画像台帳 の IMG-22 を見る。</t>
        </is>
      </c>
      <c r="B14" s="15" t="n"/>
      <c r="C14" s="15" t="n"/>
      <c r="D14" s="15" t="n"/>
      <c r="E14" s="15" t="n"/>
      <c r="F14" s="15" t="n"/>
      <c r="G14" s="15" t="n"/>
    </row>
    <row r="15" ht="22" customHeight="1">
      <c r="A15" s="14" t="inlineStr">
        <is>
          <t>IMG-23    画像差し込み枠    統計レポートを開いた例（数件）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1 人で数周したあと。負荷の証拠としては使わない、と分かった状態で撮る。
画角: Label、# Samples、Average、95% Line、Error %、Throughput の列見出しが見える。
文章は図の下に隠れてもよい。どの図かは 32_画像台帳 の IMG-23 を見る。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5" t="inlineStr">
        <is>
          <t>統計レポートの列（提出値ではないが、言葉の対応）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列</t>
        </is>
      </c>
      <c r="B18" s="6" t="inlineStr">
        <is>
          <t>意味</t>
        </is>
      </c>
      <c r="C18" s="6" t="inlineStr">
        <is>
          <t>単位</t>
        </is>
      </c>
      <c r="D18" s="6" t="inlineStr">
        <is>
          <t>CLI 側の対応</t>
        </is>
      </c>
      <c r="E18" s="6" t="inlineStr">
        <is>
          <t>読み違い</t>
        </is>
      </c>
      <c r="F18" s="6" t="inlineStr"/>
      <c r="G18" s="6" t="inlineStr"/>
    </row>
    <row r="19" ht="32" customHeight="1">
      <c r="A19" s="7" t="inlineStr">
        <is>
          <t>Label</t>
        </is>
      </c>
      <c r="B19" s="7" t="inlineStr">
        <is>
          <t>サンプラーまたはトランザクションの名前</t>
        </is>
      </c>
      <c r="C19" s="7" t="inlineStr">
        <is>
          <t>文字</t>
        </is>
      </c>
      <c r="D19" s="7" t="inlineStr">
        <is>
          <t>jtl の label、statistics.json のキー</t>
        </is>
      </c>
      <c r="E19" s="7" t="inlineStr">
        <is>
          <t>同じ名前は 1 行にまとまる。</t>
        </is>
      </c>
      <c r="F19" s="7" t="inlineStr"/>
      <c r="G19" s="7" t="inlineStr"/>
    </row>
    <row r="20" ht="22" customHeight="1">
      <c r="A20" s="8" t="inlineStr">
        <is>
          <t># Samples</t>
        </is>
      </c>
      <c r="B20" s="8" t="inlineStr">
        <is>
          <t>その名前の件数</t>
        </is>
      </c>
      <c r="C20" s="8" t="inlineStr">
        <is>
          <t>件</t>
        </is>
      </c>
      <c r="D20" s="8" t="inlineStr">
        <is>
          <t>sampleCount</t>
        </is>
      </c>
      <c r="E20" s="8" t="inlineStr">
        <is>
          <t>親と子を両方数えていないか。</t>
        </is>
      </c>
      <c r="F20" s="8" t="inlineStr"/>
      <c r="G20" s="8" t="inlineStr"/>
    </row>
    <row r="21" ht="32" customHeight="1">
      <c r="A21" s="7" t="inlineStr">
        <is>
          <t>Average</t>
        </is>
      </c>
      <c r="B21" s="7" t="inlineStr">
        <is>
          <t>elapsed の平均。失敗も含む。</t>
        </is>
      </c>
      <c r="C21" s="7" t="inlineStr">
        <is>
          <t>ミリ秒</t>
        </is>
      </c>
      <c r="D21" s="7" t="inlineStr">
        <is>
          <t>meanResTime</t>
        </is>
      </c>
      <c r="E21" s="7" t="inlineStr">
        <is>
          <t>平均が小さいのに最大だけ巨大、は外れ値。</t>
        </is>
      </c>
      <c r="F21" s="7" t="inlineStr"/>
      <c r="G21" s="7" t="inlineStr"/>
    </row>
    <row r="22" ht="32" customHeight="1">
      <c r="A22" s="8" t="inlineStr">
        <is>
          <t>Median</t>
        </is>
      </c>
      <c r="B22" s="8" t="inlineStr">
        <is>
          <t>中央値。</t>
        </is>
      </c>
      <c r="C22" s="8" t="inlineStr">
        <is>
          <t>ミリ秒</t>
        </is>
      </c>
      <c r="D22" s="8" t="inlineStr">
        <is>
          <t>medianResTime</t>
        </is>
      </c>
      <c r="E22" s="8" t="inlineStr">
        <is>
          <t>平均より中央値がずっと小さいときは、遅い側に尾がある。</t>
        </is>
      </c>
      <c r="F22" s="8" t="inlineStr"/>
      <c r="G22" s="8" t="inlineStr"/>
    </row>
    <row r="23" ht="44" customHeight="1">
      <c r="A23" s="7" t="inlineStr">
        <is>
          <t>90/95/99% Line</t>
        </is>
      </c>
      <c r="B23" s="7" t="inlineStr">
        <is>
          <t>その割合のリクエストが収まる時間。</t>
        </is>
      </c>
      <c r="C23" s="7" t="inlineStr">
        <is>
          <t>ミリ秒</t>
        </is>
      </c>
      <c r="D23" s="7" t="inlineStr">
        <is>
          <t>pct1 / pct2 / pct3（既定 90/95/99）</t>
        </is>
      </c>
      <c r="E23" s="7" t="inlineStr">
        <is>
          <t>GUI とダッシュボードで計算方法が違い、件数が少ないと差が見える。公式もその差に触れている。</t>
        </is>
      </c>
      <c r="F23" s="7" t="inlineStr"/>
      <c r="G23" s="7" t="inlineStr"/>
    </row>
    <row r="24" ht="32" customHeight="1">
      <c r="A24" s="8" t="inlineStr">
        <is>
          <t>Error %</t>
        </is>
      </c>
      <c r="B24" s="8" t="inlineStr">
        <is>
          <t>失敗の割合。</t>
        </is>
      </c>
      <c r="C24" s="8" t="inlineStr">
        <is>
          <t>%</t>
        </is>
      </c>
      <c r="D24" s="8" t="inlineStr">
        <is>
          <t>errorPct</t>
        </is>
      </c>
      <c r="E24" s="8" t="inlineStr">
        <is>
          <t>HTTP 200 でもアサーション失敗はエラー。</t>
        </is>
      </c>
      <c r="F24" s="8" t="inlineStr"/>
      <c r="G24" s="8" t="inlineStr"/>
    </row>
    <row r="25" ht="44" customHeight="1">
      <c r="A25" s="7" t="inlineStr">
        <is>
          <t>Throughput</t>
        </is>
      </c>
      <c r="B25" s="7" t="inlineStr">
        <is>
          <t>その名前の件数 / 最初から最後までの時間。</t>
        </is>
      </c>
      <c r="C25" s="7" t="inlineStr">
        <is>
          <t>件/秒</t>
        </is>
      </c>
      <c r="D25" s="7" t="inlineStr">
        <is>
          <t>throughput</t>
        </is>
      </c>
      <c r="E25" s="7" t="inlineStr">
        <is>
          <t>スレッド数ではない。思考時間を入れると下がる。</t>
        </is>
      </c>
      <c r="F25" s="7" t="inlineStr"/>
      <c r="G25" s="7" t="inlineStr"/>
    </row>
    <row r="26" ht="32" customHeight="1">
      <c r="A26" s="8" t="inlineStr">
        <is>
          <t>Received KB/sec</t>
        </is>
      </c>
      <c r="B26" s="8" t="inlineStr">
        <is>
          <t>受信バイトの速度。</t>
        </is>
      </c>
      <c r="C26" s="8" t="inlineStr">
        <is>
          <t>KB/秒</t>
        </is>
      </c>
      <c r="D26" s="8" t="inlineStr">
        <is>
          <t>receivedKBytesPerSec</t>
        </is>
      </c>
      <c r="E26" s="8" t="inlineStr">
        <is>
          <t>応答が小さい API では小さな値で正常。</t>
        </is>
      </c>
      <c r="F26" s="8" t="inlineStr"/>
      <c r="G26" s="8" t="inlineStr"/>
    </row>
  </sheetData>
  <mergeCells count="10">
    <mergeCell ref="A13:G13"/>
    <mergeCell ref="A14:G14"/>
    <mergeCell ref="A1:G1"/>
    <mergeCell ref="A17:G17"/>
    <mergeCell ref="A3:G3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35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判断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流す前と、流したあとに見るリスト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ここを飛ばして人数だけ増やさない。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GUI で 1 人を流したあとの観点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観点</t>
        </is>
      </c>
      <c r="B7" s="6" t="inlineStr">
        <is>
          <t>見方</t>
        </is>
      </c>
      <c r="C7" s="6" t="inlineStr">
        <is>
          <t>合格の目安</t>
        </is>
      </c>
      <c r="D7" s="6" t="inlineStr">
        <is>
          <t>不合格の見え方</t>
        </is>
      </c>
      <c r="E7" s="6" t="inlineStr">
        <is>
          <t>戻るシート</t>
        </is>
      </c>
      <c r="F7" s="6" t="inlineStr"/>
      <c r="G7" s="6" t="inlineStr"/>
    </row>
    <row r="8" ht="22" customHeight="1">
      <c r="A8" s="7" t="inlineStr">
        <is>
          <t>対象が試験用</t>
        </is>
      </c>
      <c r="B8" s="7" t="inlineStr">
        <is>
          <t>初期値のホスト名</t>
        </is>
      </c>
      <c r="C8" s="7" t="inlineStr">
        <is>
          <t>合意した試験環境。</t>
        </is>
      </c>
      <c r="D8" s="7" t="inlineStr">
        <is>
          <t>本番のホスト名が入っている。</t>
        </is>
      </c>
      <c r="E8" s="7" t="inlineStr">
        <is>
          <t>12</t>
        </is>
      </c>
      <c r="F8" s="7" t="inlineStr"/>
      <c r="G8" s="7" t="inlineStr"/>
    </row>
    <row r="9" ht="22" customHeight="1">
      <c r="A9" s="8" t="inlineStr">
        <is>
          <t>人数が 1</t>
        </is>
      </c>
      <c r="B9" s="8" t="inlineStr">
        <is>
          <t>スレッドグループの式</t>
        </is>
      </c>
      <c r="C9" s="8" t="inlineStr">
        <is>
          <t>${__P(threads,1)} のまま。</t>
        </is>
      </c>
      <c r="D9" s="8" t="inlineStr">
        <is>
          <t>整数が直書きされている。</t>
        </is>
      </c>
      <c r="E9" s="8" t="inlineStr">
        <is>
          <t>12</t>
        </is>
      </c>
      <c r="F9" s="8" t="inlineStr"/>
      <c r="G9" s="8" t="inlineStr"/>
    </row>
    <row r="10" ht="32" customHeight="1">
      <c r="A10" s="7" t="inlineStr">
        <is>
          <t>ログインが成功</t>
        </is>
      </c>
      <c r="B10" s="7" t="inlineStr">
        <is>
          <t>結果ツリー</t>
        </is>
      </c>
      <c r="C10" s="7" t="inlineStr">
        <is>
          <t>緑、応答コード 200。</t>
        </is>
      </c>
      <c r="D10" s="7" t="inlineStr">
        <is>
          <t>赤、401、500、接続拒否。</t>
        </is>
      </c>
      <c r="E10" s="7" t="inlineStr">
        <is>
          <t>14</t>
        </is>
      </c>
      <c r="F10" s="7" t="inlineStr"/>
      <c r="G10" s="7" t="inlineStr"/>
    </row>
    <row r="11" ht="22" customHeight="1">
      <c r="A11" s="8" t="inlineStr">
        <is>
          <t>変数が入った</t>
        </is>
      </c>
      <c r="B11" s="8" t="inlineStr">
        <is>
          <t>Request タブ</t>
        </is>
      </c>
      <c r="C11" s="8" t="inlineStr">
        <is>
          <t>${user} が残っていない。</t>
        </is>
      </c>
      <c r="D11" s="8" t="inlineStr">
        <is>
          <t>ドル記号がそのまま送られている。</t>
        </is>
      </c>
      <c r="E11" s="8" t="inlineStr">
        <is>
          <t>13</t>
        </is>
      </c>
      <c r="F11" s="8" t="inlineStr"/>
      <c r="G11" s="8" t="inlineStr"/>
    </row>
    <row r="12" ht="32" customHeight="1">
      <c r="A12" s="7" t="inlineStr">
        <is>
          <t>トークンが入った</t>
        </is>
      </c>
      <c r="B12" s="7" t="inlineStr">
        <is>
          <t>検索のヘッダ</t>
        </is>
      </c>
      <c r="C12" s="7" t="inlineStr">
        <is>
          <t>TOKEN_NOT_FOUND ではない。</t>
        </is>
      </c>
      <c r="D12" s="7" t="inlineStr">
        <is>
          <t>空、またはその文字列のまま。</t>
        </is>
      </c>
      <c r="E12" s="7" t="inlineStr">
        <is>
          <t>13</t>
        </is>
      </c>
      <c r="F12" s="7" t="inlineStr"/>
      <c r="G12" s="7" t="inlineStr"/>
    </row>
    <row r="13" ht="22" customHeight="1">
      <c r="A13" s="8" t="inlineStr">
        <is>
          <t>検索が成功</t>
        </is>
      </c>
      <c r="B13" s="8" t="inlineStr">
        <is>
          <t>結果ツリー</t>
        </is>
      </c>
      <c r="C13" s="8" t="inlineStr">
        <is>
          <t>HTTP_GET_orders が緑。</t>
        </is>
      </c>
      <c r="D13" s="8" t="inlineStr">
        <is>
          <t>200 以外。本文が想定と違う。</t>
        </is>
      </c>
      <c r="E13" s="8" t="inlineStr">
        <is>
          <t>14</t>
        </is>
      </c>
      <c r="F13" s="8" t="inlineStr"/>
      <c r="G13" s="8" t="inlineStr"/>
    </row>
    <row r="14" ht="22" customHeight="1">
      <c r="A14" s="7" t="inlineStr">
        <is>
          <t>待ちの位置</t>
        </is>
      </c>
      <c r="B14" s="7" t="inlineStr">
        <is>
          <t>ツリーの親子</t>
        </is>
      </c>
      <c r="C14" s="7" t="inlineStr">
        <is>
          <t>一様乱数タイマが TX_検索の中。</t>
        </is>
      </c>
      <c r="D14" s="7" t="inlineStr">
        <is>
          <t>ログインの前で毎回待っている。</t>
        </is>
      </c>
      <c r="E14" s="7" t="inlineStr">
        <is>
          <t>12</t>
        </is>
      </c>
      <c r="F14" s="7" t="inlineStr"/>
      <c r="G14" s="7" t="inlineStr"/>
    </row>
    <row r="15" ht="32" customHeight="1">
      <c r="A15" s="8" t="inlineStr">
        <is>
          <t>秘密情報</t>
        </is>
      </c>
      <c r="B15" s="8" t="inlineStr">
        <is>
          <t>Request と jmx</t>
        </is>
      </c>
      <c r="C15" s="8" t="inlineStr">
        <is>
          <t>パスワードが例示用。ログに残す設定がオフ。</t>
        </is>
      </c>
      <c r="D15" s="8" t="inlineStr">
        <is>
          <t>本番パスワードが jmx に見える。</t>
        </is>
      </c>
      <c r="E15" s="8" t="inlineStr">
        <is>
          <t>08, 13</t>
        </is>
      </c>
      <c r="F15" s="8" t="inlineStr"/>
      <c r="G15" s="8" t="inlineStr"/>
    </row>
    <row r="17" ht="24" customHeight="1">
      <c r="A17" s="5" t="inlineStr">
        <is>
          <t>CLI の前に必ずやること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手順</t>
        </is>
      </c>
      <c r="B18" s="6" t="inlineStr">
        <is>
          <t>どこで</t>
        </is>
      </c>
      <c r="C18" s="6" t="inlineStr">
        <is>
          <t>操作</t>
        </is>
      </c>
      <c r="D18" s="6" t="inlineStr">
        <is>
          <t>入力する値</t>
        </is>
      </c>
      <c r="E18" s="6" t="inlineStr">
        <is>
          <t>うまくいったときの見え方</t>
        </is>
      </c>
      <c r="F18" s="6" t="inlineStr">
        <is>
          <t>つまずきやすい点</t>
        </is>
      </c>
      <c r="G18" s="6" t="inlineStr">
        <is>
          <t>画像</t>
        </is>
      </c>
    </row>
    <row r="19" ht="32" customHeight="1">
      <c r="A19" s="7" t="inlineStr">
        <is>
          <t>1</t>
        </is>
      </c>
      <c r="B19" s="7" t="inlineStr">
        <is>
          <t>リスナー</t>
        </is>
      </c>
      <c r="C19" s="7" t="inlineStr">
        <is>
          <t>結果ツリー、統計、集計、表、グラフをすべて無効にする。</t>
        </is>
      </c>
      <c r="D19" s="7" t="inlineStr">
        <is>
          <t>右クリック → 無効。</t>
        </is>
      </c>
      <c r="E19" s="7" t="inlineStr">
        <is>
          <t>名前がグレー。</t>
        </is>
      </c>
      <c r="F19" s="7" t="inlineStr">
        <is>
          <t>削除すると次のデバッグで作り直すことになる。無効で残す。</t>
        </is>
      </c>
      <c r="G19" s="7" t="inlineStr"/>
    </row>
    <row r="20" ht="32" customHeight="1">
      <c r="A20" s="8" t="inlineStr">
        <is>
          <t>2</t>
        </is>
      </c>
      <c r="B20" s="8" t="inlineStr">
        <is>
          <t>ファイル名</t>
        </is>
      </c>
      <c r="C20" s="8" t="inlineStr">
        <is>
          <t>リスナーの Filename が空。</t>
        </is>
      </c>
      <c r="D20" s="8" t="inlineStr">
        <is>
          <t>空欄。</t>
        </is>
      </c>
      <c r="E20" s="8" t="inlineStr">
        <is>
          <t>GUI が勝手に jtl を書かない。</t>
        </is>
      </c>
      <c r="F20" s="8" t="inlineStr">
        <is>
          <t>空でないと、転送先でもそのパスに書こうとして失敗する。</t>
        </is>
      </c>
      <c r="G20" s="8" t="inlineStr"/>
    </row>
    <row r="21" ht="44" customHeight="1">
      <c r="A21" s="7" t="inlineStr">
        <is>
          <t>3</t>
        </is>
      </c>
      <c r="B21" s="7" t="inlineStr">
        <is>
          <t>応答本文</t>
        </is>
      </c>
      <c r="C21" s="7" t="inlineStr">
        <is>
          <t>user.properties で response_data=false。</t>
        </is>
      </c>
      <c r="D21" s="7" t="inlineStr">
        <is>
          <t>08 と 31。</t>
        </is>
      </c>
      <c r="E21" s="7" t="inlineStr">
        <is>
          <t>jtl に本文が無い。</t>
        </is>
      </c>
      <c r="F21" s="7" t="inlineStr">
        <is>
          <t>障害の 1 回だけオンにする場合は、結果の配布範囲を決めてから。</t>
        </is>
      </c>
      <c r="G21" s="7" t="inlineStr"/>
    </row>
    <row r="22" ht="32" customHeight="1">
      <c r="A22" s="8" t="inlineStr">
        <is>
          <t>4</t>
        </is>
      </c>
      <c r="B22" s="8" t="inlineStr">
        <is>
          <t>保存</t>
        </is>
      </c>
      <c r="C22" s="8" t="inlineStr">
        <is>
          <t>無効化した状態で保存する。</t>
        </is>
      </c>
      <c r="D22" s="8" t="inlineStr">
        <is>
          <t>order-search.jmx</t>
        </is>
      </c>
      <c r="E22" s="8" t="inlineStr">
        <is>
          <t>転送するのはこのファイル。</t>
        </is>
      </c>
      <c r="F22" s="8" t="inlineStr">
        <is>
          <t>有効な状態の jmx を別名で残し、転送時に取り違える。</t>
        </is>
      </c>
      <c r="G22" s="8" t="inlineStr"/>
    </row>
    <row r="23" ht="32" customHeight="1">
      <c r="A23" s="7" t="inlineStr">
        <is>
          <t>5</t>
        </is>
      </c>
      <c r="B23" s="7" t="inlineStr">
        <is>
          <t>版</t>
        </is>
      </c>
      <c r="C23" s="7" t="inlineStr">
        <is>
          <t>端末で jmeter.bat -v が 5.6.3。サーバも 5.6.3。</t>
        </is>
      </c>
      <c r="D23" s="7" t="inlineStr">
        <is>
          <t>30 のコマンド。</t>
        </is>
      </c>
      <c r="E23" s="7" t="inlineStr">
        <is>
          <t>両方の文字列を試験条件に書く。</t>
        </is>
      </c>
      <c r="F23" s="7" t="inlineStr">
        <is>
          <t>違う版のまま送る。</t>
        </is>
      </c>
      <c r="G23" s="7" t="inlineStr"/>
    </row>
    <row r="25" ht="24" customHeight="1">
      <c r="A25" s="5" t="inlineStr">
        <is>
          <t>やってはいけないこと</t>
        </is>
      </c>
      <c r="B25" s="5" t="n"/>
      <c r="C25" s="5" t="n"/>
      <c r="D25" s="5" t="n"/>
      <c r="E25" s="5" t="n"/>
      <c r="F25" s="5" t="n"/>
      <c r="G25" s="5" t="n"/>
    </row>
    <row r="26" ht="117" customHeight="1">
      <c r="A26" s="18" t="inlineStr">
        <is>
          <t>GUI で目標人数を流さない。公式も「Don't run load test using GUI mode」と書いている。
同じ result.jtl に 2 回目を追記しない。JMeter は存在する結果ファイルへ追記する。分析が混ざる。
思考時間を 0 にした結果と、入れた結果を、同じ合格基準で比べない。条件を併記する。
ランプアップ中の遅さを、定常状態の性能として書かない。書くなら「起動中を含む」と明記する。
終了コード 0 を合格と書かない。サンプルの失敗ではプロセスが失敗扱いにならない。summary の Err と jtl を見る。
応答時間の合否を Duration Assertion だけで取り、エラー率と混同しない。
JMeter はブラウザではない。JavaScript を実行しない。画面の操作ではなく、合意した API を打つ。埋め込みリソースの取得をオンにすると、HTML からリンクされた静的ファイルも打つ。API 試験ではオフのまま。
配布物の HTTP 実装は、試験のために証明書の検証を広く受け入れる。相手の証明書が不正でも通ることがある。接続できたことを、証明書が正しい証拠にしない。</t>
        </is>
      </c>
      <c r="B26" s="18" t="n"/>
      <c r="C26" s="18" t="n"/>
      <c r="D26" s="18" t="n"/>
      <c r="E26" s="18" t="n"/>
      <c r="F26" s="18" t="n"/>
      <c r="G26" s="18" t="n"/>
    </row>
    <row r="27" ht="24" customHeight="1">
      <c r="A27" s="5" t="inlineStr">
        <is>
          <t>CLI のあとの観点</t>
        </is>
      </c>
      <c r="B27" s="5" t="n"/>
      <c r="C27" s="5" t="n"/>
      <c r="D27" s="5" t="n"/>
      <c r="E27" s="5" t="n"/>
      <c r="F27" s="5" t="n"/>
      <c r="G27" s="5" t="n"/>
    </row>
    <row r="28" ht="28" customHeight="1">
      <c r="A28" s="6" t="inlineStr">
        <is>
          <t>観点</t>
        </is>
      </c>
      <c r="B28" s="6" t="inlineStr">
        <is>
          <t>どこを見る</t>
        </is>
      </c>
      <c r="C28" s="6" t="inlineStr">
        <is>
          <t>問題なし</t>
        </is>
      </c>
      <c r="D28" s="6" t="inlineStr">
        <is>
          <t>問題あり</t>
        </is>
      </c>
      <c r="E28" s="6" t="inlineStr">
        <is>
          <t>次の動作</t>
        </is>
      </c>
      <c r="F28" s="6" t="inlineStr"/>
      <c r="G28" s="6" t="inlineStr"/>
    </row>
    <row r="29" ht="44" customHeight="1">
      <c r="A29" s="7" t="inlineStr">
        <is>
          <t>起動した人数</t>
        </is>
      </c>
      <c r="B29" s="7" t="inlineStr">
        <is>
          <t>summary の Active と Started</t>
        </is>
      </c>
      <c r="C29" s="7" t="inlineStr">
        <is>
          <t>Started が -Jthreads と一致し、Active がそれに届いた。</t>
        </is>
      </c>
      <c r="D29" s="7" t="inlineStr">
        <is>
          <t>Active が増えない。</t>
        </is>
      </c>
      <c r="E29" s="7" t="inlineStr">
        <is>
          <t>ランプが長すぎる、スレッドがエラーで止まった、を jmeter.log で見る。</t>
        </is>
      </c>
      <c r="F29" s="7" t="inlineStr"/>
      <c r="G29" s="7" t="inlineStr"/>
    </row>
    <row r="30" ht="32" customHeight="1">
      <c r="A30" s="8" t="inlineStr">
        <is>
          <t>エラー</t>
        </is>
      </c>
      <c r="B30" s="8" t="inlineStr">
        <is>
          <t>summary の Err</t>
        </is>
      </c>
      <c r="C30" s="8" t="inlineStr">
        <is>
          <t>基準以内。0 が理想だが、基準は 26 に書いた値。</t>
        </is>
      </c>
      <c r="D30" s="8" t="inlineStr">
        <is>
          <t>基準超過、または試験中に増え続ける。</t>
        </is>
      </c>
      <c r="E30" s="8" t="inlineStr">
        <is>
          <t>20 の止め方。エラー行を 23 で読む。</t>
        </is>
      </c>
      <c r="F30" s="8" t="inlineStr"/>
      <c r="G30" s="8" t="inlineStr"/>
    </row>
    <row r="31" ht="32" customHeight="1">
      <c r="A31" s="7" t="inlineStr">
        <is>
          <t>応答の悪化</t>
        </is>
      </c>
      <c r="B31" s="7" t="inlineStr">
        <is>
          <t>30 秒ごとの Avg と Max</t>
        </is>
      </c>
      <c r="C31" s="7" t="inlineStr">
        <is>
          <t>定常に入ったあと、右肩上がりが続かない。</t>
        </is>
      </c>
      <c r="D31" s="7" t="inlineStr">
        <is>
          <t>Avg が区間ごとに上がり続ける。</t>
        </is>
      </c>
      <c r="E31" s="7" t="inlineStr">
        <is>
          <t>その回は不合格の材料。見込みで「頭打ち」と書く。</t>
        </is>
      </c>
      <c r="F31" s="7" t="inlineStr"/>
      <c r="G31" s="7" t="inlineStr"/>
    </row>
    <row r="32" ht="32" customHeight="1">
      <c r="A32" s="8" t="inlineStr">
        <is>
          <t>終わり方</t>
        </is>
      </c>
      <c r="B32" s="8" t="inlineStr">
        <is>
          <t>最終の summary =</t>
        </is>
      </c>
      <c r="C32" s="8" t="inlineStr">
        <is>
          <t>Finished が Started に一致。</t>
        </is>
      </c>
      <c r="D32" s="8" t="inlineStr">
        <is>
          <t>Finished が少ないままプロセスが居る。</t>
        </is>
      </c>
      <c r="E32" s="8" t="inlineStr">
        <is>
          <t>shutdown.sh を試し、残れば 28。</t>
        </is>
      </c>
      <c r="F32" s="8" t="inlineStr"/>
      <c r="G32" s="8" t="inlineStr"/>
    </row>
    <row r="33" ht="32" customHeight="1">
      <c r="A33" s="7" t="inlineStr">
        <is>
          <t>ログ</t>
        </is>
      </c>
      <c r="B33" s="7" t="inlineStr">
        <is>
          <t>jmeter.log の ERROR</t>
        </is>
      </c>
      <c r="C33" s="7" t="inlineStr">
        <is>
          <t>ERROR が無い、または説明できる。</t>
        </is>
      </c>
      <c r="D33" s="7" t="inlineStr">
        <is>
          <t>OutOfMemoryError、FileNotFound、Unknown host。</t>
        </is>
      </c>
      <c r="E33" s="7" t="inlineStr">
        <is>
          <t>28 の該当行。</t>
        </is>
      </c>
      <c r="F33" s="7" t="inlineStr"/>
      <c r="G33" s="7" t="inlineStr"/>
    </row>
    <row r="34" ht="32" customHeight="1">
      <c r="A34" s="8" t="inlineStr">
        <is>
          <t>結果の形</t>
        </is>
      </c>
      <c r="B34" s="8" t="inlineStr">
        <is>
          <t>results フォルダ</t>
        </is>
      </c>
      <c r="C34" s="8" t="inlineStr">
        <is>
          <t>jtl、log、run-conditions.txt、html-report/index.html が揃う。</t>
        </is>
      </c>
      <c r="D34" s="8" t="inlineStr">
        <is>
          <t>jtl が 0 バイト。html が無い。</t>
        </is>
      </c>
      <c r="E34" s="8" t="inlineStr">
        <is>
          <t>21。</t>
        </is>
      </c>
      <c r="F34" s="8" t="inlineStr"/>
      <c r="G34" s="8" t="inlineStr"/>
    </row>
    <row r="35" ht="56" customHeight="1">
      <c r="A35" s="7" t="inlineStr">
        <is>
          <t>二重計上</t>
        </is>
      </c>
      <c r="B35" s="7" t="inlineStr">
        <is>
          <t>statistics.json のキー</t>
        </is>
      </c>
      <c r="C35" s="7" t="inlineStr">
        <is>
          <t>報告する名前が 1 セットだけ。</t>
        </is>
      </c>
      <c r="D35" s="7" t="inlineStr">
        <is>
          <t>TX_検索 と HTTP_GET_orders を足して件数にした。</t>
        </is>
      </c>
      <c r="E35" s="7" t="inlineStr">
        <is>
          <t>どちらを報告行にするか 24 で決める。この手順は HTTP 名を明細、必要なら TX を別表。親サンプルはオフ。</t>
        </is>
      </c>
      <c r="F35" s="7" t="inlineStr"/>
      <c r="G35" s="7" t="inlineStr"/>
    </row>
  </sheetData>
  <mergeCells count="10">
    <mergeCell ref="A1:G1"/>
    <mergeCell ref="A17:G17"/>
    <mergeCell ref="A27:G27"/>
    <mergeCell ref="A3:G3"/>
    <mergeCell ref="A6:G6"/>
    <mergeCell ref="A4:G4"/>
    <mergeCell ref="A26:G26"/>
    <mergeCell ref="A2:G2"/>
    <mergeCell ref="A25:G2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0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転送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jmx を保存し、Linux の plans へ置く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送るのは設計図とデータ。結果ファイルは送らない。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GUI</t>
        </is>
      </c>
      <c r="C7" s="7" t="inlineStr">
        <is>
          <t>16 の無効化が終わっていることを確認して保存する。</t>
        </is>
      </c>
      <c r="D7" s="7" t="inlineStr">
        <is>
          <t>ファイル → テスト計画に名前をつけて保存。</t>
        </is>
      </c>
      <c r="E7" s="7" t="inlineStr">
        <is>
          <t>C:\LoadTest\scenarios\order-search\order-search.jmx</t>
        </is>
      </c>
      <c r="F7" s="7" t="inlineStr">
        <is>
          <t>別名保存で古い不良版を上書きしない。日付をフォルダ名に付けて世代を残してよい。</t>
        </is>
      </c>
      <c r="G7" s="7" t="inlineStr">
        <is>
          <t>下の枠</t>
        </is>
      </c>
    </row>
    <row r="8" ht="32" customHeight="1">
      <c r="A8" s="8" t="inlineStr">
        <is>
          <t>2</t>
        </is>
      </c>
      <c r="B8" s="8" t="inlineStr">
        <is>
          <t>フォルダ</t>
        </is>
      </c>
      <c r="C8" s="8" t="inlineStr">
        <is>
          <t>同じフォルダに次が揃っているか見る。</t>
        </is>
      </c>
      <c r="D8" s="8" t="inlineStr">
        <is>
          <t>order-search.jmx、users.csv、load.properties、run.sh</t>
        </is>
      </c>
      <c r="E8" s="8" t="inlineStr">
        <is>
          <t>4 つある。run.sh の改行は LF。</t>
        </is>
      </c>
      <c r="F8" s="8" t="inlineStr">
        <is>
          <t>jmeter.log や前回の jtl を同梱しない。</t>
        </is>
      </c>
      <c r="G8" s="8" t="inlineStr"/>
    </row>
    <row r="9" ht="44" customHeight="1">
      <c r="A9" s="7" t="inlineStr">
        <is>
          <t>3</t>
        </is>
      </c>
      <c r="B9" s="7" t="inlineStr">
        <is>
          <t>run.sh</t>
        </is>
      </c>
      <c r="C9" s="7" t="inlineStr">
        <is>
          <t>31 の全文を run.sh として保存する。Windows 11 のメモ帳なら、保存時の改行コードを LF にする。</t>
        </is>
      </c>
      <c r="D9" s="7" t="inlineStr">
        <is>
          <t>UTF-8、LF。</t>
        </is>
      </c>
      <c r="E9" s="7" t="inlineStr">
        <is>
          <t>サーバで file run.sh が CRLF ではない。</t>
        </is>
      </c>
      <c r="F9" s="7" t="inlineStr">
        <is>
          <t>CRLF のままだと Linux が $'\r' で失敗する。</t>
        </is>
      </c>
      <c r="G9" s="7" t="inlineStr"/>
    </row>
    <row r="10" ht="56" customHeight="1">
      <c r="A10" s="8" t="inlineStr">
        <is>
          <t>4</t>
        </is>
      </c>
      <c r="B10" s="8" t="inlineStr">
        <is>
          <t>サーバ</t>
        </is>
      </c>
      <c r="C10" s="8" t="inlineStr">
        <is>
          <t>置き場所を作る。SSH ユーザは JMeter を実行するユーザと同じにする。</t>
        </is>
      </c>
      <c r="D10" s="8" t="inlineStr">
        <is>
          <t>ssh loadtest@jmeter-runner.example.internal
mkdir -p /opt/jmeter/plans/order-search</t>
        </is>
      </c>
      <c r="E10" s="8" t="inlineStr">
        <is>
          <t>ディレクトリができる。</t>
        </is>
      </c>
      <c r="F10" s="8" t="inlineStr">
        <is>
          <t>root で mkdir すると、あとから書けない。</t>
        </is>
      </c>
      <c r="G10" s="8" t="inlineStr"/>
    </row>
    <row r="11" ht="68" customHeight="1">
      <c r="A11" s="7" t="inlineStr">
        <is>
          <t>5</t>
        </is>
      </c>
      <c r="B11" s="7" t="inlineStr">
        <is>
          <t>送る</t>
        </is>
      </c>
      <c r="C11" s="7" t="inlineStr">
        <is>
          <t>PowerShell の scp か WinSCP。中身はテキストなので、転送モードはテキストでもバイナリでも jmx は通常壊れない。CSV は UTF-8 のバイトを維持する。</t>
        </is>
      </c>
      <c r="D11" s="7" t="inlineStr">
        <is>
          <t>scp C:\LoadTest\scenarios\order-search\* loadtest@jmeter-runner.example.internal:/opt/jmeter/plans/order-search/</t>
        </is>
      </c>
      <c r="E11" s="7" t="inlineStr">
        <is>
          <t>プロンプトが戻る。</t>
        </is>
      </c>
      <c r="F11" s="7" t="inlineStr">
        <is>
          <t>ワイルドカードで results まで送らない。scenarios フォルダの中だけを送る。</t>
        </is>
      </c>
      <c r="G11" s="7" t="inlineStr">
        <is>
          <t>下の枠</t>
        </is>
      </c>
    </row>
    <row r="12" ht="44" customHeight="1">
      <c r="A12" s="8" t="inlineStr">
        <is>
          <t>6</t>
        </is>
      </c>
      <c r="B12" s="8" t="inlineStr">
        <is>
          <t>サーバで確認</t>
        </is>
      </c>
      <c r="C12" s="8" t="inlineStr">
        <is>
          <t>名前、サイズ、改行を見る。</t>
        </is>
      </c>
      <c r="D12" s="8" t="inlineStr">
        <is>
          <t>cd /opt/jmeter/plans/order-search
ls -l
file run.sh order-search.jmx users.csv</t>
        </is>
      </c>
      <c r="E12" s="8" t="inlineStr">
        <is>
          <t>jmx と csv のサイズが端末と同じ。run.sh に CRLF の表示が無い。</t>
        </is>
      </c>
      <c r="F12" s="8" t="inlineStr">
        <is>
          <t>0 バイトの jmx は転送失敗。送り直す。</t>
        </is>
      </c>
      <c r="G12" s="8" t="inlineStr"/>
    </row>
    <row r="13" ht="44" customHeight="1">
      <c r="A13" s="7" t="inlineStr">
        <is>
          <t>7</t>
        </is>
      </c>
      <c r="B13" s="7" t="inlineStr">
        <is>
          <t>WinSCP の場合</t>
        </is>
      </c>
      <c r="C13" s="7" t="inlineStr">
        <is>
          <t>左が端末、右がサーバ。左で 4 ファイルを選び、右の order-search へドラッグする。</t>
        </is>
      </c>
      <c r="D13" s="7" t="inlineStr">
        <is>
          <t>ホスト、ポート 22、ユーザ loadtest。</t>
        </is>
      </c>
      <c r="E13" s="7" t="inlineStr">
        <is>
          <t>右ペインに 4 ファイル。</t>
        </is>
      </c>
      <c r="F13" s="7" t="inlineStr">
        <is>
          <t>親フォルダごとドロップして階層が一段ずれる。jmx の相対パスが CSV を見失う。</t>
        </is>
      </c>
      <c r="G13" s="7" t="inlineStr"/>
    </row>
    <row r="15" ht="22" customHeight="1">
      <c r="A15" s="14" t="inlineStr">
        <is>
          <t>IMG-24    画像差し込み枠    名前を付けて保存ダイアログ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jmx を scenarios\order-search に保存するとき。
画角: ファイル名 order-search.jmx と、フォルダパスが見える。
文章は図の下に隠れてもよい。どの図かは 32_画像台帳 の IMG-24 を見る。</t>
        </is>
      </c>
      <c r="B16" s="15" t="n"/>
      <c r="C16" s="15" t="n"/>
      <c r="D16" s="15" t="n"/>
      <c r="E16" s="15" t="n"/>
      <c r="F16" s="15" t="n"/>
      <c r="G16" s="15" t="n"/>
    </row>
    <row r="17" ht="22" customHeight="1">
      <c r="A17" s="14" t="inlineStr">
        <is>
          <t>IMG-25    画像差し込み枠    WinSCP または scp の完了</t>
        </is>
      </c>
      <c r="B17" s="14" t="n"/>
      <c r="C17" s="14" t="n"/>
      <c r="D17" s="14" t="n"/>
      <c r="E17" s="14" t="n"/>
      <c r="F17" s="14" t="n"/>
      <c r="G17" s="14" t="n"/>
    </row>
    <row r="18" ht="148" customHeight="1">
      <c r="A18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転送直後。
画角: サーバ側に jmx、csv、load.properties、run.sh が並び、サイズが見える。結果ファイルは写っていない。
文章は図の下に隠れてもよい。どの図かは 32_画像台帳 の IMG-25 を見る。</t>
        </is>
      </c>
      <c r="B18" s="15" t="n"/>
      <c r="C18" s="15" t="n"/>
      <c r="D18" s="15" t="n"/>
      <c r="E18" s="15" t="n"/>
      <c r="F18" s="15" t="n"/>
      <c r="G18" s="15" t="n"/>
    </row>
    <row r="19" ht="32" customHeight="1">
      <c r="A19" s="18" t="inlineStr">
        <is>
          <t>load.properties の中のホスト名も、試験対象に合わせてから送る。31 の例は search.host=app.example.internal。シナリオ側を ${__P(search.host,app.example.internal)} にして初期値に使ってもよい。その場合、HTTP リクエスト初期値のサーバ欄をその式にする。式を使わないなら、jmx 内のホストを現場の値に変えて保存し直す。どちらにしたかを試験条件に書く。</t>
        </is>
      </c>
      <c r="B19" s="18" t="n"/>
      <c r="C19" s="18" t="n"/>
      <c r="D19" s="18" t="n"/>
      <c r="E19" s="18" t="n"/>
      <c r="F19" s="18" t="n"/>
      <c r="G19" s="18" t="n"/>
    </row>
    <row r="20" ht="32" customHeight="1">
      <c r="A20" s="18" t="inlineStr">
        <is>
          <t>api-gateway のシナリオは、同じ送り方で 4 ファイルを /opt/jmeter/plans/api-gateway/ へ置く。secrets.properties は chmod 600。run-conditions.txt とスクリーンショットに値を出さない。コマンドは 35 の末尾。</t>
        </is>
      </c>
      <c r="B20" s="18" t="n"/>
      <c r="C20" s="18" t="n"/>
      <c r="D20" s="18" t="n"/>
      <c r="E20" s="18" t="n"/>
      <c r="F20" s="18" t="n"/>
      <c r="G20" s="18" t="n"/>
    </row>
  </sheetData>
  <mergeCells count="11">
    <mergeCell ref="A1:G1"/>
    <mergeCell ref="A17:G17"/>
    <mergeCell ref="A18:G18"/>
    <mergeCell ref="A3:G3"/>
    <mergeCell ref="A4:G4"/>
    <mergeCell ref="A20:G20"/>
    <mergeCell ref="A2:G2"/>
    <mergeCell ref="A16:G16"/>
    <mergeCell ref="A15:G15"/>
    <mergeCell ref="A19:G19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20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Linux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実行サーバに同じ JMeter を置く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初回と、バージョンを上げるときだけ。試験のたびに入れ直さない。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44" customHeight="1">
      <c r="A7" s="7" t="inlineStr">
        <is>
          <t>1</t>
        </is>
      </c>
      <c r="B7" s="7" t="inlineStr">
        <is>
          <t>OS</t>
        </is>
      </c>
      <c r="C7" s="7" t="inlineStr">
        <is>
          <t>実行ユーザを決める。</t>
        </is>
      </c>
      <c r="D7" s="7" t="inlineStr">
        <is>
          <t>ユーザ名の例: loadtest。root では走らせない。</t>
        </is>
      </c>
      <c r="E7" s="7" t="inlineStr">
        <is>
          <t>id で loadtest と出る。</t>
        </is>
      </c>
      <c r="F7" s="7" t="inlineStr">
        <is>
          <t>root で走らせると、結果ファイルが他の人から扱えず、事故時の影響が大きい。</t>
        </is>
      </c>
      <c r="G7" s="7" t="inlineStr"/>
    </row>
    <row r="8" ht="44" customHeight="1">
      <c r="A8" s="8" t="inlineStr">
        <is>
          <t>2</t>
        </is>
      </c>
      <c r="B8" s="8" t="inlineStr">
        <is>
          <t>Java</t>
        </is>
      </c>
      <c r="C8" s="8" t="inlineStr">
        <is>
          <t>Java 17 があるか見る。無ければディストリビューションの手順で 17 の JDK を入れる。</t>
        </is>
      </c>
      <c r="D8" s="8" t="inlineStr">
        <is>
          <t>java -version</t>
        </is>
      </c>
      <c r="E8" s="8" t="inlineStr">
        <is>
          <t>17 以上。</t>
        </is>
      </c>
      <c r="F8" s="8" t="inlineStr">
        <is>
          <t>端末が 17、サーバが 8、でも 5.6.3 は動くことがある。新規は 17 に揃える。</t>
        </is>
      </c>
      <c r="G8" s="8" t="inlineStr"/>
    </row>
    <row r="9" ht="68" customHeight="1">
      <c r="A9" s="7" t="inlineStr">
        <is>
          <t>3</t>
        </is>
      </c>
      <c r="B9" s="7" t="inlineStr">
        <is>
          <t>配置</t>
        </is>
      </c>
      <c r="C9" s="7" t="inlineStr">
        <is>
          <t>tgz を /opt/jmeter に展開する。空白の無いパス。</t>
        </is>
      </c>
      <c r="D9" s="7" t="inlineStr">
        <is>
          <t>sudo mkdir -p /opt/jmeter
sudo tar -xzf apache-jmeter-5.6.3.tgz -C /opt/jmeter
sudo chown -R loadtest:loadtest /opt/jmeter</t>
        </is>
      </c>
      <c r="E9" s="7" t="inlineStr">
        <is>
          <t xml:space="preserve"> /opt/jmeter/apache-jmeter-5.6.3/bin/jmeter がある。</t>
        </is>
      </c>
      <c r="F9" s="7" t="inlineStr">
        <is>
          <t>bin という名前のサブディレクトリを改名しない。公式が禁止している。</t>
        </is>
      </c>
      <c r="G9" s="7" t="inlineStr"/>
    </row>
    <row r="10" ht="44" customHeight="1">
      <c r="A10" s="8" t="inlineStr">
        <is>
          <t>4</t>
        </is>
      </c>
      <c r="B10" s="8" t="inlineStr">
        <is>
          <t>実行権</t>
        </is>
      </c>
      <c r="C10" s="8" t="inlineStr">
        <is>
          <t>スクリプトに実行権を付ける。</t>
        </is>
      </c>
      <c r="D10" s="8" t="inlineStr">
        <is>
          <t>chmod +x /opt/jmeter/apache-jmeter-5.6.3/bin/jmeter /opt/jmeter/apache-jmeter-5.6.3/bin/*.sh</t>
        </is>
      </c>
      <c r="E10" s="8" t="inlineStr">
        <is>
          <t>ls で jmeter が実行可能。</t>
        </is>
      </c>
      <c r="F10" s="8" t="inlineStr">
        <is>
          <t>jmeter.bat を Linux で動かそうとしない。</t>
        </is>
      </c>
      <c r="G10" s="8" t="inlineStr"/>
    </row>
    <row r="11" ht="44" customHeight="1">
      <c r="A11" s="7" t="inlineStr">
        <is>
          <t>5</t>
        </is>
      </c>
      <c r="B11" s="7" t="inlineStr">
        <is>
          <t>setenv.sh</t>
        </is>
      </c>
      <c r="C11" s="7" t="inlineStr">
        <is>
          <t>31 の setenv.sh を bin に置く。改行は LF。</t>
        </is>
      </c>
      <c r="D11" s="7" t="inlineStr">
        <is>
          <t>export HEAP と export TZ=Asia/Tokyo。</t>
        </is>
      </c>
      <c r="E11" s="7" t="inlineStr">
        <is>
          <t>ファイルがある。</t>
        </is>
      </c>
      <c r="F11" s="7" t="inlineStr">
        <is>
          <t>jmeter 本体のスクリプトを編集しない。setenv.sh は公式が読む場所。</t>
        </is>
      </c>
      <c r="G11" s="7" t="inlineStr"/>
    </row>
    <row r="12" ht="44" customHeight="1">
      <c r="A12" s="8" t="inlineStr">
        <is>
          <t>6</t>
        </is>
      </c>
      <c r="B12" s="8" t="inlineStr">
        <is>
          <t>user.properties</t>
        </is>
      </c>
      <c r="C12" s="8" t="inlineStr">
        <is>
          <t>31 の追記を、サーバの bin/user.properties の末尾にも入れる。端末と同じ。</t>
        </is>
      </c>
      <c r="D12" s="8" t="inlineStr">
        <is>
          <t>timestamp と date_format の対。</t>
        </is>
      </c>
      <c r="E12" s="8" t="inlineStr">
        <is>
          <t>両方ある。</t>
        </is>
      </c>
      <c r="F12" s="8" t="inlineStr">
        <is>
          <t>サーバだけ書式が ms のままだと、戻した CSV の日時が端末の練習と違う。</t>
        </is>
      </c>
      <c r="G12" s="8" t="inlineStr"/>
    </row>
    <row r="13" ht="56" customHeight="1">
      <c r="A13" s="7" t="inlineStr">
        <is>
          <t>7</t>
        </is>
      </c>
      <c r="B13" s="7" t="inlineStr">
        <is>
          <t>バージョン</t>
        </is>
      </c>
      <c r="C13" s="7" t="inlineStr">
        <is>
          <t>GUI を開かずにバージョンだけ見る。</t>
        </is>
      </c>
      <c r="D13" s="7" t="inlineStr">
        <is>
          <t>/opt/jmeter/apache-jmeter-5.6.3/bin/jmeter -v</t>
        </is>
      </c>
      <c r="E13" s="7" t="inlineStr">
        <is>
          <t>5.6.3 と出て、プロセスが終わる。</t>
        </is>
      </c>
      <c r="F13" s="7" t="inlineStr">
        <is>
          <t>引数なしで jmeter を起動すると GUI を開こうとして、ディスプレイの無いサーバでは失敗する。</t>
        </is>
      </c>
      <c r="G13" s="7" t="inlineStr">
        <is>
          <t>下の枠</t>
        </is>
      </c>
    </row>
    <row r="14" ht="32" customHeight="1">
      <c r="A14" s="8" t="inlineStr">
        <is>
          <t>8</t>
        </is>
      </c>
      <c r="B14" s="8" t="inlineStr">
        <is>
          <t>ディレクトリ</t>
        </is>
      </c>
      <c r="C14" s="8" t="inlineStr">
        <is>
          <t>plans と results を作る。</t>
        </is>
      </c>
      <c r="D14" s="8" t="inlineStr">
        <is>
          <t>mkdir -p /opt/jmeter/plans /opt/jmeter/results</t>
        </is>
      </c>
      <c r="E14" s="8" t="inlineStr">
        <is>
          <t>loadtest が書き込める。</t>
        </is>
      </c>
      <c r="F14" s="8" t="inlineStr">
        <is>
          <t>results を /tmp にすると再起動で消えるサーバがある。</t>
        </is>
      </c>
      <c r="G14" s="8" t="inlineStr"/>
    </row>
    <row r="15" ht="44" customHeight="1">
      <c r="A15" s="7" t="inlineStr">
        <is>
          <t>9</t>
        </is>
      </c>
      <c r="B15" s="7" t="inlineStr">
        <is>
          <t>ファイル数</t>
        </is>
      </c>
      <c r="C15" s="7" t="inlineStr">
        <is>
          <t>同時接続が多い前に、オープンできるファイル数を見る。</t>
        </is>
      </c>
      <c r="D15" s="7" t="inlineStr">
        <is>
          <t>ulimit -n</t>
        </is>
      </c>
      <c r="E15" s="7" t="inlineStr">
        <is>
          <t>65535 など、スレッド数より十分大きい。小さいときは 28。</t>
        </is>
      </c>
      <c r="F15" s="7" t="inlineStr">
        <is>
          <t>既定の 1024 のまま数百スレッドで接続を開くと、Too many open files になる。</t>
        </is>
      </c>
      <c r="G15" s="7" t="inlineStr"/>
    </row>
    <row r="16" ht="68" customHeight="1">
      <c r="A16" s="8" t="inlineStr">
        <is>
          <t>10</t>
        </is>
      </c>
      <c r="B16" s="8" t="inlineStr">
        <is>
          <t>時刻</t>
        </is>
      </c>
      <c r="C16" s="8" t="inlineStr">
        <is>
          <t>端末と時刻帯が説明できること。</t>
        </is>
      </c>
      <c r="D16" s="8" t="inlineStr">
        <is>
          <t>date</t>
        </is>
      </c>
      <c r="E16" s="8" t="inlineStr">
        <is>
          <t>JST と読める。setenv.sh の TZ が Asia/Tokyo。</t>
        </is>
      </c>
      <c r="F16" s="8" t="inlineStr">
        <is>
          <t>サーバが UTC のままログを読むと、9 時間ずれた障害時刻と比べてしまう。run-conditions.txt に date の出力を残すので、それを報告に書く。</t>
        </is>
      </c>
      <c r="G16" s="8" t="inlineStr"/>
    </row>
    <row r="18" ht="22" customHeight="1">
      <c r="A18" s="14" t="inlineStr">
        <is>
          <t>IMG-26    画像差し込み枠    java -version と jmeter -v</t>
        </is>
      </c>
      <c r="B18" s="14" t="n"/>
      <c r="C18" s="14" t="n"/>
      <c r="D18" s="14" t="n"/>
      <c r="E18" s="14" t="n"/>
      <c r="F18" s="14" t="n"/>
      <c r="G18" s="14" t="n"/>
    </row>
    <row r="19" ht="148" customHeight="1">
      <c r="A19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準備が終わったサーバの端末画面。
画角: 両方のバージョン文字列と、プロンプトが loadtest であることが読める。
文章は図の下に隠れてもよい。どの図かは 32_画像台帳 の IMG-26 を見る。</t>
        </is>
      </c>
      <c r="B19" s="15" t="n"/>
      <c r="C19" s="15" t="n"/>
      <c r="D19" s="15" t="n"/>
      <c r="E19" s="15" t="n"/>
      <c r="F19" s="15" t="n"/>
      <c r="G19" s="15" t="n"/>
    </row>
    <row r="20" ht="32" customHeight="1">
      <c r="A20" s="18" t="inlineStr">
        <is>
          <t>複数台で同時に負荷をかける分散実行（jmeter-server と -r）は、この手順書の範囲外。1 台の CLI で目標人数に届き、かつ実行サーバ自身の CPU が先に飽和していないことを見てから検討する。分散にすると、jtl の集約と時刻の扱いが増える。</t>
        </is>
      </c>
      <c r="B20" s="18" t="n"/>
      <c r="C20" s="18" t="n"/>
      <c r="D20" s="18" t="n"/>
      <c r="E20" s="18" t="n"/>
      <c r="F20" s="18" t="n"/>
      <c r="G20" s="18" t="n"/>
    </row>
  </sheetData>
  <mergeCells count="8">
    <mergeCell ref="A1:G1"/>
    <mergeCell ref="A18:G18"/>
    <mergeCell ref="A3:G3"/>
    <mergeCell ref="A4:G4"/>
    <mergeCell ref="A20:G20"/>
    <mergeCell ref="A2:G2"/>
    <mergeCell ref="A19:G19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34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CLI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jmx・jtl・ログ・HTML の指定を固定して実行する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公式の形は jmeter -n -t 計画 -l 結果 -e -o レポートディレクトリ。この手順は -j と -q と -J を足す。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オプションの意味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オプション</t>
        </is>
      </c>
      <c r="B7" s="6" t="inlineStr">
        <is>
          <t>例</t>
        </is>
      </c>
      <c r="C7" s="6" t="inlineStr">
        <is>
          <t>何を指定するか</t>
        </is>
      </c>
      <c r="D7" s="6" t="inlineStr">
        <is>
          <t>省略すると</t>
        </is>
      </c>
      <c r="E7" s="6" t="inlineStr">
        <is>
          <t>注意</t>
        </is>
      </c>
      <c r="F7" s="6" t="inlineStr"/>
      <c r="G7" s="6" t="inlineStr"/>
    </row>
    <row r="8" ht="22" customHeight="1">
      <c r="A8" s="7" t="inlineStr">
        <is>
          <t>-n</t>
        </is>
      </c>
      <c r="B8" s="7" t="inlineStr">
        <is>
          <t>-n</t>
        </is>
      </c>
      <c r="C8" s="7" t="inlineStr">
        <is>
          <t>CLI モード。画面を出さない。</t>
        </is>
      </c>
      <c r="D8" s="7" t="inlineStr">
        <is>
          <t>GUI を開こうとする。</t>
        </is>
      </c>
      <c r="E8" s="7" t="inlineStr">
        <is>
          <t>負荷の実行では必ず付ける。</t>
        </is>
      </c>
      <c r="F8" s="7" t="inlineStr"/>
      <c r="G8" s="7" t="inlineStr"/>
    </row>
    <row r="9" ht="32" customHeight="1">
      <c r="A9" s="8" t="inlineStr">
        <is>
          <t>-t</t>
        </is>
      </c>
      <c r="B9" s="8" t="inlineStr">
        <is>
          <t>-t /opt/jmeter/plans/order-search/order-search.jmx</t>
        </is>
      </c>
      <c r="C9" s="8" t="inlineStr">
        <is>
          <t>シナリオの jmx。</t>
        </is>
      </c>
      <c r="D9" s="8" t="inlineStr">
        <is>
          <t>実行できない。</t>
        </is>
      </c>
      <c r="E9" s="8" t="inlineStr">
        <is>
          <t>相対パスにするなら、今いるディレクトリに注意。絶対パスを推奨。</t>
        </is>
      </c>
      <c r="F9" s="8" t="inlineStr"/>
      <c r="G9" s="8" t="inlineStr"/>
    </row>
    <row r="10" ht="32" customHeight="1">
      <c r="A10" s="7" t="inlineStr">
        <is>
          <t>-l</t>
        </is>
      </c>
      <c r="B10" s="7" t="inlineStr">
        <is>
          <t>-l /opt/jmeter/results/order-search_日時/result.jtl</t>
        </is>
      </c>
      <c r="C10" s="7" t="inlineStr">
        <is>
          <t>サンプル結果の出力先。</t>
        </is>
      </c>
      <c r="D10" s="7" t="inlineStr">
        <is>
          <t>結果ファイルが残らず、再分析できない。</t>
        </is>
      </c>
      <c r="E10" s="7" t="inlineStr">
        <is>
          <t>既存ファイルがあると追記される。毎回新しいパス。</t>
        </is>
      </c>
      <c r="F10" s="7" t="inlineStr"/>
      <c r="G10" s="7" t="inlineStr"/>
    </row>
    <row r="11" ht="56" customHeight="1">
      <c r="A11" s="8" t="inlineStr">
        <is>
          <t>-j</t>
        </is>
      </c>
      <c r="B11" s="8" t="inlineStr">
        <is>
          <t>-j /opt/jmeter/results/order-search_日時/jmeter.log</t>
        </is>
      </c>
      <c r="C11" s="8" t="inlineStr">
        <is>
          <t>JMeter 自身のログ。</t>
        </is>
      </c>
      <c r="D11" s="8" t="inlineStr">
        <is>
          <t>起動したディレクトリに jmeter.log を作り、次回は上書きする。公式は -j で実行ごとに残す、と説明している。</t>
        </is>
      </c>
      <c r="E11" s="8" t="inlineStr">
        <is>
          <t>jtl とは別ファイル。</t>
        </is>
      </c>
      <c r="F11" s="8" t="inlineStr"/>
      <c r="G11" s="8" t="inlineStr"/>
    </row>
    <row r="12" ht="32" customHeight="1">
      <c r="A12" s="7" t="inlineStr">
        <is>
          <t>-q</t>
        </is>
      </c>
      <c r="B12" s="7" t="inlineStr">
        <is>
          <t>-q /opt/jmeter/plans/order-search/load.properties</t>
        </is>
      </c>
      <c r="C12" s="7" t="inlineStr">
        <is>
          <t>そのシナリオだけのプロパティファイル。</t>
        </is>
      </c>
      <c r="D12" s="7" t="inlineStr">
        <is>
          <t>bin/user.properties だけが効く。</t>
        </is>
      </c>
      <c r="E12" s="7" t="inlineStr">
        <is>
          <t>同じキーは -J が -q より優先。</t>
        </is>
      </c>
      <c r="F12" s="7" t="inlineStr"/>
      <c r="G12" s="7" t="inlineStr"/>
    </row>
    <row r="13" ht="32" customHeight="1">
      <c r="A13" s="8" t="inlineStr">
        <is>
          <t>-J</t>
        </is>
      </c>
      <c r="B13" s="8" t="inlineStr">
        <is>
          <t>-Jthreads=50</t>
        </is>
      </c>
      <c r="C13" s="8" t="inlineStr">
        <is>
          <t>プロパティ threads を 50 にする。${__P(threads,1)} が 50 になる。</t>
        </is>
      </c>
      <c r="D13" s="8" t="inlineStr">
        <is>
          <t>式の既定値。threads なら 1。</t>
        </is>
      </c>
      <c r="E13" s="8" t="inlineStr">
        <is>
          <t>-Dthreads=50 は Java のシステムプロパティで、__P からは読めない。</t>
        </is>
      </c>
      <c r="F13" s="8" t="inlineStr"/>
      <c r="G13" s="8" t="inlineStr"/>
    </row>
    <row r="14" ht="32" customHeight="1">
      <c r="A14" s="7" t="inlineStr">
        <is>
          <t>-e</t>
        </is>
      </c>
      <c r="B14" s="7" t="inlineStr">
        <is>
          <t>-e</t>
        </is>
      </c>
      <c r="C14" s="7" t="inlineStr">
        <is>
          <t>終了後に HTML ダッシュボードを作る。</t>
        </is>
      </c>
      <c r="D14" s="7" t="inlineStr">
        <is>
          <t>jtl だけで終わり、HTML は無い。</t>
        </is>
      </c>
      <c r="E14" s="7" t="inlineStr">
        <is>
          <t>jtl の列がダッシュボードの要件を満たすこと。08 の設定で満たす。</t>
        </is>
      </c>
      <c r="F14" s="7" t="inlineStr"/>
      <c r="G14" s="7" t="inlineStr"/>
    </row>
    <row r="15" ht="32" customHeight="1">
      <c r="A15" s="8" t="inlineStr">
        <is>
          <t>-o</t>
        </is>
      </c>
      <c r="B15" s="8" t="inlineStr">
        <is>
          <t>-o /opt/jmeter/results/.../html-report</t>
        </is>
      </c>
      <c r="C15" s="8" t="inlineStr">
        <is>
          <t>HTML の出力先ディレクトリ。</t>
        </is>
      </c>
      <c r="D15" s="8" t="inlineStr">
        <is>
          <t>-e だけでは bin 配下の既定フォルダに出ることがある。</t>
        </is>
      </c>
      <c r="E15" s="8" t="inlineStr">
        <is>
          <t>公式: フォルダは存在しないか、空であること。先に mkdir しない。</t>
        </is>
      </c>
      <c r="F15" s="8" t="inlineStr"/>
      <c r="G15" s="8" t="inlineStr"/>
    </row>
    <row r="16" ht="32" customHeight="1">
      <c r="A16" s="7" t="inlineStr">
        <is>
          <t>-g</t>
        </is>
      </c>
      <c r="B16" s="7" t="inlineStr">
        <is>
          <t>-g result.jtl -o html-report</t>
        </is>
      </c>
      <c r="C16" s="7" t="inlineStr">
        <is>
          <t>試験を再実行せず、既存 jtl から HTML だけ作る。</t>
        </is>
      </c>
      <c r="D16" s="7" t="inlineStr">
        <is>
          <t>使わない。</t>
        </is>
      </c>
      <c r="E16" s="7" t="inlineStr">
        <is>
          <t>作り直しのとき。試験中には使わない。</t>
        </is>
      </c>
      <c r="F16" s="7" t="inlineStr"/>
      <c r="G16" s="7" t="inlineStr"/>
    </row>
    <row r="17" ht="32" customHeight="1">
      <c r="A17" s="8" t="inlineStr">
        <is>
          <t>-f</t>
        </is>
      </c>
      <c r="B17" s="8" t="inlineStr">
        <is>
          <t>-f</t>
        </is>
      </c>
      <c r="C17" s="8" t="inlineStr">
        <is>
          <t>既存の結果ファイルとレポート先を削除してから走る。</t>
        </is>
      </c>
      <c r="D17" s="8" t="inlineStr">
        <is>
          <t>追記や「出力先が空でない」で失敗し得る。</t>
        </is>
      </c>
      <c r="E17" s="8" t="inlineStr">
        <is>
          <t>削除は取り消せない。原則は新フォルダ。-f は同じパスでやり直すときだけ。</t>
        </is>
      </c>
      <c r="F17" s="8" t="inlineStr"/>
      <c r="G17" s="8" t="inlineStr"/>
    </row>
    <row r="18" ht="32" customHeight="1">
      <c r="A18" s="7" t="inlineStr">
        <is>
          <t>-L</t>
        </is>
      </c>
      <c r="B18" s="7" t="inlineStr">
        <is>
          <t>-Ljmeter.engine=DEBUG</t>
        </is>
      </c>
      <c r="C18" s="7" t="inlineStr">
        <is>
          <t>ログの詳細度。</t>
        </is>
      </c>
      <c r="D18" s="7" t="inlineStr">
        <is>
          <t>INFO 相当。</t>
        </is>
      </c>
      <c r="E18" s="7" t="inlineStr">
        <is>
          <t>DEBUG のまま負荷を流すとログが巨大になる。調査の 1 回だけ。</t>
        </is>
      </c>
      <c r="F18" s="7" t="inlineStr"/>
      <c r="G18" s="7" t="inlineStr"/>
    </row>
    <row r="20" ht="24" customHeight="1">
      <c r="A20" s="5" t="inlineStr">
        <is>
          <t>実行手順</t>
        </is>
      </c>
      <c r="B20" s="5" t="n"/>
      <c r="C20" s="5" t="n"/>
      <c r="D20" s="5" t="n"/>
      <c r="E20" s="5" t="n"/>
      <c r="F20" s="5" t="n"/>
      <c r="G20" s="5" t="n"/>
    </row>
    <row r="21" ht="28" customHeight="1">
      <c r="A21" s="6" t="inlineStr">
        <is>
          <t>手順</t>
        </is>
      </c>
      <c r="B21" s="6" t="inlineStr">
        <is>
          <t>どこで</t>
        </is>
      </c>
      <c r="C21" s="6" t="inlineStr">
        <is>
          <t>操作</t>
        </is>
      </c>
      <c r="D21" s="6" t="inlineStr">
        <is>
          <t>入力する値</t>
        </is>
      </c>
      <c r="E21" s="6" t="inlineStr">
        <is>
          <t>うまくいったときの見え方</t>
        </is>
      </c>
      <c r="F21" s="6" t="inlineStr">
        <is>
          <t>つまずきやすい点</t>
        </is>
      </c>
      <c r="G21" s="6" t="inlineStr">
        <is>
          <t>画像</t>
        </is>
      </c>
    </row>
    <row r="22" ht="32" customHeight="1">
      <c r="A22" s="7" t="inlineStr">
        <is>
          <t>1</t>
        </is>
      </c>
      <c r="B22" s="7" t="inlineStr">
        <is>
          <t>SSH</t>
        </is>
      </c>
      <c r="C22" s="7" t="inlineStr">
        <is>
          <t>実行ユーザで入る。</t>
        </is>
      </c>
      <c r="D22" s="7" t="inlineStr">
        <is>
          <t>ssh loadtest@jmeter-runner.example.internal</t>
        </is>
      </c>
      <c r="E22" s="7" t="inlineStr">
        <is>
          <t>プロンプトが loadtest。</t>
        </is>
      </c>
      <c r="F22" s="7" t="inlineStr">
        <is>
          <t>別ユーザだと plans が読めない。</t>
        </is>
      </c>
      <c r="G22" s="7" t="inlineStr"/>
    </row>
    <row r="23" ht="44" customHeight="1">
      <c r="A23" s="8" t="inlineStr">
        <is>
          <t>2</t>
        </is>
      </c>
      <c r="B23" s="8" t="inlineStr">
        <is>
          <t>tmux</t>
        </is>
      </c>
      <c r="C23" s="8" t="inlineStr">
        <is>
          <t>セッションを作る。SSH が切れても試験を残すため。</t>
        </is>
      </c>
      <c r="D23" s="8" t="inlineStr">
        <is>
          <t>tmux new -s loadtest</t>
        </is>
      </c>
      <c r="E23" s="8" t="inlineStr">
        <is>
          <t>画面下に tmux の表示。</t>
        </is>
      </c>
      <c r="F23" s="8" t="inlineStr">
        <is>
          <t>tmux 無しで流すと、PC がスリープした瞬間に試験が SIGHUP で死ぬ。</t>
        </is>
      </c>
      <c r="G23" s="8" t="inlineStr"/>
    </row>
    <row r="24" ht="32" customHeight="1">
      <c r="A24" s="7" t="inlineStr">
        <is>
          <t>3</t>
        </is>
      </c>
      <c r="B24" s="7" t="inlineStr">
        <is>
          <t>切離しの練習</t>
        </is>
      </c>
      <c r="C24" s="7" t="inlineStr">
        <is>
          <t>デタッチと復帰を、試験の前に一度やっておく。</t>
        </is>
      </c>
      <c r="D24" s="7" t="inlineStr">
        <is>
          <t>デタッチは Ctrl+b のあとに d。戻るのは tmux attach -t loadtest</t>
        </is>
      </c>
      <c r="E24" s="7" t="inlineStr">
        <is>
          <t>コマンドが続き、プロンプトが戻る。</t>
        </is>
      </c>
      <c r="F24" s="7" t="inlineStr">
        <is>
          <t>Ctrl+c をデタッチと間違えて試験を殺す。</t>
        </is>
      </c>
      <c r="G24" s="7" t="inlineStr"/>
    </row>
    <row r="25" ht="56" customHeight="1">
      <c r="A25" s="8" t="inlineStr">
        <is>
          <t>4</t>
        </is>
      </c>
      <c r="B25" s="8" t="inlineStr">
        <is>
          <t>事前確認</t>
        </is>
      </c>
      <c r="C25" s="8" t="inlineStr">
        <is>
          <t>計画ファイルとユーザを見る。</t>
        </is>
      </c>
      <c r="D25" s="8" t="inlineStr">
        <is>
          <t>test -f /opt/jmeter/plans/order-search/order-search.jmx &amp;&amp; echo PLAN_OK
head -n 2 /opt/jmeter/plans/order-search/users.csv</t>
        </is>
      </c>
      <c r="E25" s="8" t="inlineStr">
        <is>
          <t>PLAN_OK。1 行目が列名。</t>
        </is>
      </c>
      <c r="F25" s="8" t="inlineStr">
        <is>
          <t>PLAN_OK が出ないまま run.sh を叩かない。</t>
        </is>
      </c>
      <c r="G25" s="8" t="inlineStr"/>
    </row>
    <row r="26" ht="44" customHeight="1">
      <c r="A26" s="7" t="inlineStr">
        <is>
          <t>5</t>
        </is>
      </c>
      <c r="B26" s="7" t="inlineStr">
        <is>
          <t>小さい実行</t>
        </is>
      </c>
      <c r="C26" s="7" t="inlineStr">
        <is>
          <t>run.sh をコピーして、threads=1、ramp=1、duration=60 に変えたもので 1 回流す。</t>
        </is>
      </c>
      <c r="D26" s="7" t="inlineStr">
        <is>
          <t>cp run.sh run-1user.sh して 3 か所を直す。bash run-1user.sh</t>
        </is>
      </c>
      <c r="E26" s="7" t="inlineStr">
        <is>
          <t>summary が出て、結果ディレクトリができる。</t>
        </is>
      </c>
      <c r="F26" s="7" t="inlineStr">
        <is>
          <t>最初から 50 で流さない。</t>
        </is>
      </c>
      <c r="G26" s="7" t="inlineStr"/>
    </row>
    <row r="27" ht="44" customHeight="1">
      <c r="A27" s="8" t="inlineStr">
        <is>
          <t>6</t>
        </is>
      </c>
      <c r="B27" s="8" t="inlineStr">
        <is>
          <t>本番の実行</t>
        </is>
      </c>
      <c r="C27" s="8" t="inlineStr">
        <is>
          <t>合意した値の run.sh を流す。31 の例は 50 人、60 秒で全員起動、600 秒継続。</t>
        </is>
      </c>
      <c r="D27" s="8" t="inlineStr">
        <is>
          <t>bash /opt/jmeter/plans/order-search/run.sh</t>
        </is>
      </c>
      <c r="E27" s="8" t="inlineStr">
        <is>
          <t>すぐにログが流れ、summary + が 30 秒ごとに出る。</t>
        </is>
      </c>
      <c r="F27" s="8" t="inlineStr">
        <is>
          <t>html-report を先に mkdir していると -o が失敗する。run.sh は mkdir していない。</t>
        </is>
      </c>
      <c r="G27" s="8" t="inlineStr">
        <is>
          <t>下の枠</t>
        </is>
      </c>
    </row>
    <row r="28" ht="32" customHeight="1">
      <c r="A28" s="7" t="inlineStr">
        <is>
          <t>7</t>
        </is>
      </c>
      <c r="B28" s="7" t="inlineStr">
        <is>
          <t>場所の記録</t>
        </is>
      </c>
      <c r="C28" s="7" t="inlineStr">
        <is>
          <t>スクリプトが最後に表示する結果ディレクトリを控える。</t>
        </is>
      </c>
      <c r="D28" s="7" t="inlineStr">
        <is>
          <t>/opt/jmeter/results/order-search_年月日時分秒</t>
        </is>
      </c>
      <c r="E28" s="7" t="inlineStr">
        <is>
          <t>そのパスをチケットに書く。</t>
        </is>
      </c>
      <c r="F28" s="7" t="inlineStr">
        <is>
          <t>次の実行のパスと混ぜる。</t>
        </is>
      </c>
      <c r="G28" s="7" t="inlineStr"/>
    </row>
    <row r="30" ht="44" customHeight="1">
      <c r="A30" s="25" t="inlineStr">
        <is>
          <t>1 行で書くときの形（run.sh と同じ意味）。結果ディレクトリは先に作り、html-report は作らない。
/opt/jmeter/apache-jmeter-5.6.3/bin/jmeter -n -t /opt/jmeter/plans/order-search/order-search.jmx -l /opt/jmeter/results/order-search_日時/result.jtl -j /opt/jmeter/results/order-search_日時/jmeter.log -q /opt/jmeter/plans/order-search/load.properties -Jthreads=50 -Jramp=60 -Jduration=600 -e -o /opt/jmeter/results/order-search_日時/html-report</t>
        </is>
      </c>
      <c r="B30" s="25" t="n"/>
      <c r="C30" s="25" t="n"/>
      <c r="D30" s="25" t="n"/>
      <c r="E30" s="25" t="n"/>
      <c r="F30" s="25" t="n"/>
      <c r="G30" s="25" t="n"/>
    </row>
    <row r="31" ht="22" customHeight="1">
      <c r="A31" s="14" t="inlineStr">
        <is>
          <t>IMG-27    画像差し込み枠    run.sh を実行した直後のコンソール</t>
        </is>
      </c>
      <c r="B31" s="14" t="n"/>
      <c r="C31" s="14" t="n"/>
      <c r="D31" s="14" t="n"/>
      <c r="E31" s="14" t="n"/>
      <c r="F31" s="14" t="n"/>
      <c r="G31" s="14" t="n"/>
    </row>
    <row r="32" ht="148" customHeight="1">
      <c r="A32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summary が 1 行でも出たところ。
画角: コマンドの末尾と、summary の 1 行目が見える。パスワードは写さない。
文章は図の下に隠れてもよい。どの図かは 32_画像台帳 の IMG-27 を見る。</t>
        </is>
      </c>
      <c r="B32" s="15" t="n"/>
      <c r="C32" s="15" t="n"/>
      <c r="D32" s="15" t="n"/>
      <c r="E32" s="15" t="n"/>
      <c r="F32" s="15" t="n"/>
      <c r="G32" s="15" t="n"/>
    </row>
    <row r="33" ht="24" customHeight="1">
      <c r="A33" s="5" t="inlineStr">
        <is>
          <t>プロパティがシナリオへ届いているかの確認</t>
        </is>
      </c>
      <c r="B33" s="5" t="n"/>
      <c r="C33" s="5" t="n"/>
      <c r="D33" s="5" t="n"/>
      <c r="E33" s="5" t="n"/>
      <c r="F33" s="5" t="n"/>
      <c r="G33" s="5" t="n"/>
    </row>
    <row r="34" ht="44" customHeight="1">
      <c r="A34" s="18" t="inlineStr">
        <is>
          <t>1 人の実行の jmeter.log にエラーが無く、summary の Active が 1 なら、threads の既定または -Jthreads=1 が届いている。
50 の実行で Active が 1 のままなら、-J のキーが scenarios の式と違う。式が ${__P(threads,1)} なら、キーは threads。${__P(USERS,1)} なら -JUSERS=50。大文字小文字は区別される。
GUI のユーザ定義変数に threads という変数を作っても、-Jthreads の代わりにはならない。__P はプロパティを読む。</t>
        </is>
      </c>
      <c r="B34" s="18" t="n"/>
      <c r="C34" s="18" t="n"/>
      <c r="D34" s="18" t="n"/>
      <c r="E34" s="18" t="n"/>
      <c r="F34" s="18" t="n"/>
      <c r="G34" s="18" t="n"/>
    </row>
  </sheetData>
  <mergeCells count="12">
    <mergeCell ref="A32:G32"/>
    <mergeCell ref="A1:G1"/>
    <mergeCell ref="A31:G31"/>
    <mergeCell ref="A3:G3"/>
    <mergeCell ref="A6:G6"/>
    <mergeCell ref="A34:G34"/>
    <mergeCell ref="A4:G4"/>
    <mergeCell ref="A20:G20"/>
    <mergeCell ref="A30:G30"/>
    <mergeCell ref="A2:G2"/>
    <mergeCell ref="A33:G33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28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監視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summary の 1 行を、左から読む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30 秒ごとに 2 種類出る。+ はその 30 秒。= は開始からの累計。公式のリスナー説明にある summariser。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44" customHeight="1">
      <c r="A6" s="25" t="inlineStr">
        <is>
          <t>例（数値は説明用）:
summary +   1500 in 00:00:30 =   50.0/s Avg:   120 Min:    40 Max:  2100 Err:     0 (0.00%) Active: 50 Started: 50 Finished: 0
summary =   4500 in 00:01:30 =   50.0/s Avg:   118 Min:    35 Max:  2100 Err:     3 (0.07%) Active: 50 Started: 50 Finished: 0</t>
        </is>
      </c>
      <c r="B6" s="25" t="n"/>
      <c r="C6" s="25" t="n"/>
      <c r="D6" s="25" t="n"/>
      <c r="E6" s="25" t="n"/>
      <c r="F6" s="25" t="n"/>
      <c r="G6" s="25" t="n"/>
    </row>
    <row r="7" ht="28" customHeight="1">
      <c r="A7" s="6" t="inlineStr">
        <is>
          <t>欄</t>
        </is>
      </c>
      <c r="B7" s="6" t="inlineStr">
        <is>
          <t>例</t>
        </is>
      </c>
      <c r="C7" s="6" t="inlineStr">
        <is>
          <t>意味</t>
        </is>
      </c>
      <c r="D7" s="6" t="inlineStr">
        <is>
          <t>監視で見ること</t>
        </is>
      </c>
      <c r="E7" s="6" t="inlineStr">
        <is>
          <t>異常の目安</t>
        </is>
      </c>
      <c r="F7" s="6" t="inlineStr"/>
      <c r="G7" s="6" t="inlineStr"/>
    </row>
    <row r="8" ht="22" customHeight="1">
      <c r="A8" s="7" t="inlineStr">
        <is>
          <t>summary +</t>
        </is>
      </c>
      <c r="B8" s="7" t="inlineStr">
        <is>
          <t>+</t>
        </is>
      </c>
      <c r="C8" s="7" t="inlineStr">
        <is>
          <t>直前の区間。既定 30 秒。</t>
        </is>
      </c>
      <c r="D8" s="7" t="inlineStr">
        <is>
          <t>今起きていること。</t>
        </is>
      </c>
      <c r="E8" s="7" t="inlineStr">
        <is>
          <t>この行だけを最終結果として貼らない。</t>
        </is>
      </c>
      <c r="F8" s="7" t="inlineStr"/>
      <c r="G8" s="7" t="inlineStr"/>
    </row>
    <row r="9" ht="32" customHeight="1">
      <c r="A9" s="8" t="inlineStr">
        <is>
          <t>summary =</t>
        </is>
      </c>
      <c r="B9" s="8" t="inlineStr">
        <is>
          <t>=</t>
        </is>
      </c>
      <c r="C9" s="8" t="inlineStr">
        <is>
          <t>開始から今まで。</t>
        </is>
      </c>
      <c r="D9" s="8" t="inlineStr">
        <is>
          <t>試験全体の現在値。終わりのこの行を控える。</t>
        </is>
      </c>
      <c r="E9" s="8" t="inlineStr">
        <is>
          <t>途中の = を最終値と書く。</t>
        </is>
      </c>
      <c r="F9" s="8" t="inlineStr"/>
      <c r="G9" s="8" t="inlineStr"/>
    </row>
    <row r="10" ht="22" customHeight="1">
      <c r="A10" s="7" t="inlineStr">
        <is>
          <t>件数 in 時間</t>
        </is>
      </c>
      <c r="B10" s="7" t="inlineStr">
        <is>
          <t>1500 in 00:00:30</t>
        </is>
      </c>
      <c r="C10" s="7" t="inlineStr">
        <is>
          <t>その範囲のサンプル数と経過。</t>
        </is>
      </c>
      <c r="D10" s="7" t="inlineStr">
        <is>
          <t>件数が 0 の区間が続かないか。</t>
        </is>
      </c>
      <c r="E10" s="7" t="inlineStr">
        <is>
          <t>0 が続くのは、タイマ、停止、到達不能。</t>
        </is>
      </c>
      <c r="F10" s="7" t="inlineStr"/>
      <c r="G10" s="7" t="inlineStr"/>
    </row>
    <row r="11" ht="44" customHeight="1">
      <c r="A11" s="8" t="inlineStr">
        <is>
          <t>件/秒</t>
        </is>
      </c>
      <c r="B11" s="8" t="inlineStr">
        <is>
          <t>50.0/s</t>
        </is>
      </c>
      <c r="C11" s="8" t="inlineStr">
        <is>
          <t>その範囲のスループット。</t>
        </is>
      </c>
      <c r="D11" s="8" t="inlineStr">
        <is>
          <t>人数を増やしたのに件/秒が増えない、は飽和の候補。</t>
        </is>
      </c>
      <c r="E11" s="8" t="inlineStr">
        <is>
          <t>思考時間を入れた試験は、人数×操作の間隔で頭打ちになる。それが仕様なら異常ではない。</t>
        </is>
      </c>
      <c r="F11" s="8" t="inlineStr"/>
      <c r="G11" s="8" t="inlineStr"/>
    </row>
    <row r="12" ht="32" customHeight="1">
      <c r="A12" s="7" t="inlineStr">
        <is>
          <t>Avg Min Max</t>
        </is>
      </c>
      <c r="B12" s="7" t="inlineStr">
        <is>
          <t>ミリ秒</t>
        </is>
      </c>
      <c r="C12" s="7" t="inlineStr">
        <is>
          <t>elapsed の平均、最小、最大。失敗も含む。</t>
        </is>
      </c>
      <c r="D12" s="7" t="inlineStr">
        <is>
          <t>Avg が区間ごとに上がり続けるか。</t>
        </is>
      </c>
      <c r="E12" s="7" t="inlineStr">
        <is>
          <t>Max だけ大きいのは外れ値。Avg と Max が一緒に上がるのは全体が遅い。</t>
        </is>
      </c>
      <c r="F12" s="7" t="inlineStr"/>
      <c r="G12" s="7" t="inlineStr"/>
    </row>
    <row r="13" ht="32" customHeight="1">
      <c r="A13" s="8" t="inlineStr">
        <is>
          <t>Err</t>
        </is>
      </c>
      <c r="B13" s="8" t="inlineStr">
        <is>
          <t>3 (0.07%)</t>
        </is>
      </c>
      <c r="C13" s="8" t="inlineStr">
        <is>
          <t>失敗数と割合。</t>
        </is>
      </c>
      <c r="D13" s="8" t="inlineStr">
        <is>
          <t>0 のままか、基準を超えたか。</t>
        </is>
      </c>
      <c r="E13" s="8" t="inlineStr">
        <is>
          <t>増えていく途中なら、止める判断を 16 の観点で行う。</t>
        </is>
      </c>
      <c r="F13" s="8" t="inlineStr"/>
      <c r="G13" s="8" t="inlineStr"/>
    </row>
    <row r="14" ht="32" customHeight="1">
      <c r="A14" s="7" t="inlineStr">
        <is>
          <t>Active</t>
        </is>
      </c>
      <c r="B14" s="7" t="inlineStr">
        <is>
          <t>50</t>
        </is>
      </c>
      <c r="C14" s="7" t="inlineStr">
        <is>
          <t>いま動いているスレッド。</t>
        </is>
      </c>
      <c r="D14" s="7" t="inlineStr">
        <is>
          <t>目標人数に届くか。</t>
        </is>
      </c>
      <c r="E14" s="7" t="inlineStr">
        <is>
          <t>Ramp-Up の途中は目標未満で正常。持続時間に入っても未満なら異常。</t>
        </is>
      </c>
      <c r="F14" s="7" t="inlineStr"/>
      <c r="G14" s="7" t="inlineStr"/>
    </row>
    <row r="15" ht="32" customHeight="1">
      <c r="A15" s="8" t="inlineStr">
        <is>
          <t>Started</t>
        </is>
      </c>
      <c r="B15" s="8" t="inlineStr">
        <is>
          <t>50</t>
        </is>
      </c>
      <c r="C15" s="8" t="inlineStr">
        <is>
          <t>起動した累計。</t>
        </is>
      </c>
      <c r="D15" s="8" t="inlineStr">
        <is>
          <t>-Jthreads と一致するか。</t>
        </is>
      </c>
      <c r="E15" s="8" t="inlineStr">
        <is>
          <t>一致しないときは式がプロパティを読んでいない。</t>
        </is>
      </c>
      <c r="F15" s="8" t="inlineStr"/>
      <c r="G15" s="8" t="inlineStr"/>
    </row>
    <row r="16" ht="44" customHeight="1">
      <c r="A16" s="7" t="inlineStr">
        <is>
          <t>Finished</t>
        </is>
      </c>
      <c r="B16" s="7" t="inlineStr">
        <is>
          <t>0</t>
        </is>
      </c>
      <c r="C16" s="7" t="inlineStr">
        <is>
          <t>終わったスレッド。</t>
        </is>
      </c>
      <c r="D16" s="7" t="inlineStr">
        <is>
          <t>試験中は 0 付近。終了時に Started と一致。</t>
        </is>
      </c>
      <c r="E16" s="7" t="inlineStr">
        <is>
          <t>試験の途中で Finished が増えるのは、エラーでスレッドを止める設定か、CSV の終端で止める設定。</t>
        </is>
      </c>
      <c r="F16" s="7" t="inlineStr"/>
      <c r="G16" s="7" t="inlineStr"/>
    </row>
    <row r="18" ht="22" customHeight="1">
      <c r="A18" s="14" t="inlineStr">
        <is>
          <t>IMG-28    画像差し込み枠    summary の + と = が数行出ているコンソール</t>
        </is>
      </c>
      <c r="B18" s="14" t="n"/>
      <c r="C18" s="14" t="n"/>
      <c r="D18" s="14" t="n"/>
      <c r="E18" s="14" t="n"/>
      <c r="F18" s="14" t="n"/>
      <c r="G18" s="14" t="n"/>
    </row>
    <row r="19" ht="148" customHeight="1">
      <c r="A19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試験の途中。
画角: + と = の違いが分かるよう、両方を入れる。ウィンドウのタイトルやホスト名も入るとよい。
文章は図の下に隠れてもよい。どの図かは 32_画像台帳 の IMG-28 を見る。</t>
        </is>
      </c>
      <c r="B19" s="15" t="n"/>
      <c r="C19" s="15" t="n"/>
      <c r="D19" s="15" t="n"/>
      <c r="E19" s="15" t="n"/>
      <c r="F19" s="15" t="n"/>
      <c r="G19" s="15" t="n"/>
    </row>
    <row r="20" ht="24" customHeight="1">
      <c r="A20" s="5" t="inlineStr">
        <is>
          <t>止め方</t>
        </is>
      </c>
      <c r="B20" s="5" t="n"/>
      <c r="C20" s="5" t="n"/>
      <c r="D20" s="5" t="n"/>
      <c r="E20" s="5" t="n"/>
      <c r="F20" s="5" t="n"/>
      <c r="G20" s="5" t="n"/>
    </row>
    <row r="21" ht="28" customHeight="1">
      <c r="A21" s="6" t="inlineStr">
        <is>
          <t>手順</t>
        </is>
      </c>
      <c r="B21" s="6" t="inlineStr">
        <is>
          <t>どこで</t>
        </is>
      </c>
      <c r="C21" s="6" t="inlineStr">
        <is>
          <t>操作</t>
        </is>
      </c>
      <c r="D21" s="6" t="inlineStr">
        <is>
          <t>入力する値</t>
        </is>
      </c>
      <c r="E21" s="6" t="inlineStr">
        <is>
          <t>うまくいったときの見え方</t>
        </is>
      </c>
      <c r="F21" s="6" t="inlineStr">
        <is>
          <t>つまずきやすい点</t>
        </is>
      </c>
      <c r="G21" s="6" t="inlineStr">
        <is>
          <t>画像</t>
        </is>
      </c>
    </row>
    <row r="22" ht="32" customHeight="1">
      <c r="A22" s="7" t="inlineStr">
        <is>
          <t>1</t>
        </is>
      </c>
      <c r="B22" s="7" t="inlineStr">
        <is>
          <t>様子を見る</t>
        </is>
      </c>
      <c r="C22" s="7" t="inlineStr">
        <is>
          <t>Err が基準以内で、Active が目標どおりなら、持続時間まで手を出さない。</t>
        </is>
      </c>
      <c r="D22" s="7" t="inlineStr">
        <is>
          <t>tmux の画面を残す。</t>
        </is>
      </c>
      <c r="E22" s="7" t="inlineStr">
        <is>
          <t>30 秒ごとに行が増える。</t>
        </is>
      </c>
      <c r="F22" s="7" t="inlineStr">
        <is>
          <t>SSH の窓を閉じない。閉じるなら先にデタッチ。</t>
        </is>
      </c>
      <c r="G22" s="7" t="inlineStr"/>
    </row>
    <row r="23" ht="44" customHeight="1">
      <c r="A23" s="8" t="inlineStr">
        <is>
          <t>2</t>
        </is>
      </c>
      <c r="B23" s="8" t="inlineStr">
        <is>
          <t>穏やかに止める</t>
        </is>
      </c>
      <c r="C23" s="8" t="inlineStr">
        <is>
          <t>別の SSH で同じサーバへ入り、シャットダウンを送る。実行中のサンプルが終わってから止まる。</t>
        </is>
      </c>
      <c r="D23" s="8" t="inlineStr">
        <is>
          <t>/opt/jmeter/apache-jmeter-5.6.3/bin/shutdown.sh</t>
        </is>
      </c>
      <c r="E23" s="8" t="inlineStr">
        <is>
          <t>コンソールに停止のログが出て、最終の summary = が出る。</t>
        </is>
      </c>
      <c r="F23" s="8" t="inlineStr">
        <is>
          <t>jmeter.log が結果フォルダにあるので、bin の jmeter.log だけを見に行かない。</t>
        </is>
      </c>
      <c r="G23" s="8" t="inlineStr"/>
    </row>
    <row r="24" ht="56" customHeight="1">
      <c r="A24" s="7" t="inlineStr">
        <is>
          <t>3</t>
        </is>
      </c>
      <c r="B24" s="7" t="inlineStr">
        <is>
          <t>すぐに止める</t>
        </is>
      </c>
      <c r="C24" s="7" t="inlineStr">
        <is>
          <t>エラーが急増し、対象をこれ以上叩きたくないとき。</t>
        </is>
      </c>
      <c r="D24" s="7" t="inlineStr">
        <is>
          <t>/opt/jmeter/apache-jmeter-5.6.3/bin/stoptest.sh</t>
        </is>
      </c>
      <c r="E24" s="7" t="inlineStr">
        <is>
          <t>プロセスが終わる。</t>
        </is>
      </c>
      <c r="F24" s="7" t="inlineStr">
        <is>
          <t>最後の数秒のサンプルが jtl に無いことがある。run-conditions とログに「stoptest で中断」と書く。</t>
        </is>
      </c>
      <c r="G24" s="7" t="inlineStr"/>
    </row>
    <row r="25" ht="32" customHeight="1">
      <c r="A25" s="8" t="inlineStr">
        <is>
          <t>4</t>
        </is>
      </c>
      <c r="B25" s="8" t="inlineStr">
        <is>
          <t>Ctrl+c</t>
        </is>
      </c>
      <c r="C25" s="8" t="inlineStr">
        <is>
          <t>tmux の中で、上記が効かないときの最終手段。</t>
        </is>
      </c>
      <c r="D25" s="8" t="inlineStr">
        <is>
          <t>Ctrl+c を 1 回。</t>
        </is>
      </c>
      <c r="E25" s="8" t="inlineStr">
        <is>
          <t>プロンプトが戻る。</t>
        </is>
      </c>
      <c r="F25" s="8" t="inlineStr">
        <is>
          <t>連打すると後処理が飛ばない。押した事実を報告に書く。</t>
        </is>
      </c>
      <c r="G25" s="8" t="inlineStr"/>
    </row>
    <row r="26" ht="32" customHeight="1">
      <c r="A26" s="7" t="inlineStr">
        <is>
          <t>5</t>
        </is>
      </c>
      <c r="B26" s="7" t="inlineStr">
        <is>
          <t>終了の記録</t>
        </is>
      </c>
      <c r="C26" s="7" t="inlineStr">
        <is>
          <t>最後の summary = の行を、結果フォルダのメモかチケットへコピーする。</t>
        </is>
      </c>
      <c r="D26" s="7" t="inlineStr">
        <is>
          <t>Err、Avg、Active、Started、Finished。</t>
        </is>
      </c>
      <c r="E26" s="7" t="inlineStr">
        <is>
          <t>後からコンソールを閉じても残る。</t>
        </is>
      </c>
      <c r="F26" s="7" t="inlineStr">
        <is>
          <t>画面を閉じたあとに記憶で数値を書かない。</t>
        </is>
      </c>
      <c r="G26" s="7" t="inlineStr"/>
    </row>
    <row r="28" ht="32" customHeight="1">
      <c r="A28" s="18" t="inlineStr">
        <is>
          <t>終了コードが 0 でも Err が 0 とは限らない。逆に、止め方によっては 0 以外で終わっても、それまでの jtl は分析できる。合否は終了コードではなく、サンプルの失敗と応答時間で決める。jmeterengine.stopfail.system.exit は、スレッドを止めきれなかったときの話で、アサーション失敗の話ではない。</t>
        </is>
      </c>
      <c r="B28" s="18" t="n"/>
      <c r="C28" s="18" t="n"/>
      <c r="D28" s="18" t="n"/>
      <c r="E28" s="18" t="n"/>
      <c r="F28" s="18" t="n"/>
      <c r="G28" s="18" t="n"/>
    </row>
  </sheetData>
  <mergeCells count="10">
    <mergeCell ref="A1:G1"/>
    <mergeCell ref="A18:G18"/>
    <mergeCell ref="A3:G3"/>
    <mergeCell ref="A6:G6"/>
    <mergeCell ref="A4:G4"/>
    <mergeCell ref="A20:G20"/>
    <mergeCell ref="A2:G2"/>
    <mergeCell ref="A28:G28"/>
    <mergeCell ref="A19:G19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36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出力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結果フォルダの中身と、各列の意味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出力先はコマンドが決める。シナリオのリスナーでは決めない。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1 回の実行でできるもの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パス（例）</t>
        </is>
      </c>
      <c r="B7" s="6" t="inlineStr">
        <is>
          <t>誰が書くか</t>
        </is>
      </c>
      <c r="C7" s="6" t="inlineStr">
        <is>
          <t>中身</t>
        </is>
      </c>
      <c r="D7" s="6" t="inlineStr">
        <is>
          <t>Excel で使うか</t>
        </is>
      </c>
      <c r="E7" s="6" t="inlineStr">
        <is>
          <t>欠けるときの原因</t>
        </is>
      </c>
      <c r="F7" s="6" t="inlineStr"/>
      <c r="G7" s="6" t="inlineStr"/>
    </row>
    <row r="8" ht="32" customHeight="1">
      <c r="A8" s="7" t="inlineStr">
        <is>
          <t>/opt/jmeter/results/order-search_日時/result.jtl</t>
        </is>
      </c>
      <c r="B8" s="7" t="inlineStr">
        <is>
          <t>-l</t>
        </is>
      </c>
      <c r="C8" s="7" t="inlineStr">
        <is>
          <t>1 サンプル 1 行の CSV。拡張子は jtl。</t>
        </is>
      </c>
      <c r="D8" s="7" t="inlineStr">
        <is>
          <t>エラー行の抽出と、時間帯の切り分けに使う。代表値の正本にはしない。</t>
        </is>
      </c>
      <c r="E8" s="7" t="inlineStr">
        <is>
          <t>パスの親ディレクトリが無い。-l を付け忘れた。</t>
        </is>
      </c>
      <c r="F8" s="7" t="inlineStr"/>
      <c r="G8" s="7" t="inlineStr"/>
    </row>
    <row r="9" ht="32" customHeight="1">
      <c r="A9" s="8" t="inlineStr">
        <is>
          <t>同じフォルダ/jmeter.log</t>
        </is>
      </c>
      <c r="B9" s="8" t="inlineStr">
        <is>
          <t>-j</t>
        </is>
      </c>
      <c r="C9" s="8" t="inlineStr">
        <is>
          <t>起動、エラー、summary のログ写し。</t>
        </is>
      </c>
      <c r="D9" s="8" t="inlineStr">
        <is>
          <t>ERROR 行を報告の付録にする。性能表にはしない。</t>
        </is>
      </c>
      <c r="E9" s="8" t="inlineStr">
        <is>
          <t>-j を付けず、bin やカレントに書いて探している。</t>
        </is>
      </c>
      <c r="F9" s="8" t="inlineStr"/>
      <c r="G9" s="8" t="inlineStr"/>
    </row>
    <row r="10" ht="32" customHeight="1">
      <c r="A10" s="7" t="inlineStr">
        <is>
          <t>同じフォルダ/run-conditions.txt</t>
        </is>
      </c>
      <c r="B10" s="7" t="inlineStr">
        <is>
          <t>run.sh</t>
        </is>
      </c>
      <c r="C10" s="7" t="inlineStr">
        <is>
          <t>スレッド数、時間、ホスト、日付。</t>
        </is>
      </c>
      <c r="D10" s="7" t="inlineStr">
        <is>
          <t>26 の試験条件へ転記する。</t>
        </is>
      </c>
      <c r="E10" s="7" t="inlineStr">
        <is>
          <t>run.sh を使わず手入力し、メモを作り忘れた。</t>
        </is>
      </c>
      <c r="F10" s="7" t="inlineStr"/>
      <c r="G10" s="7" t="inlineStr"/>
    </row>
    <row r="11" ht="32" customHeight="1">
      <c r="A11" s="8" t="inlineStr">
        <is>
          <t>同じフォルダ/html-report/index.html</t>
        </is>
      </c>
      <c r="B11" s="8" t="inlineStr">
        <is>
          <t>-e -o</t>
        </is>
      </c>
      <c r="C11" s="8" t="inlineStr">
        <is>
          <t>ダッシュボード。ブラウザで開く。</t>
        </is>
      </c>
      <c r="D11" s="8" t="inlineStr">
        <is>
          <t>グラフの図の元。フォルダごと無いと開いても白紙。</t>
        </is>
      </c>
      <c r="E11" s="8" t="inlineStr">
        <is>
          <t>-o のフォルダが先に存在して空でなかった。</t>
        </is>
      </c>
      <c r="F11" s="8" t="inlineStr"/>
      <c r="G11" s="8" t="inlineStr"/>
    </row>
    <row r="12" ht="44" customHeight="1">
      <c r="A12" s="7" t="inlineStr">
        <is>
          <t>html-report/statistics.json</t>
        </is>
      </c>
      <c r="B12" s="7" t="inlineStr">
        <is>
          <t>同じ生成</t>
        </is>
      </c>
      <c r="C12" s="7" t="inlineStr">
        <is>
          <t>取引ごとの件数、平均、中央値、パーセンタイル、エラー率、スループット。</t>
        </is>
      </c>
      <c r="D12" s="7" t="inlineStr">
        <is>
          <t>報告の数値の正本。23 で Excel に読む。</t>
        </is>
      </c>
      <c r="E12" s="7" t="inlineStr">
        <is>
          <t>HTML 生成が失敗すると無い。jmeter.log の reportgenerator を見る。</t>
        </is>
      </c>
      <c r="F12" s="7" t="inlineStr"/>
      <c r="G12" s="7" t="inlineStr"/>
    </row>
    <row r="14" ht="22" customHeight="1">
      <c r="A14" s="14" t="inlineStr">
        <is>
          <t>IMG-29    画像差し込み枠    結果ディレクトリの ls -l</t>
        </is>
      </c>
      <c r="B14" s="14" t="n"/>
      <c r="C14" s="14" t="n"/>
      <c r="D14" s="14" t="n"/>
      <c r="E14" s="14" t="n"/>
      <c r="F14" s="14" t="n"/>
      <c r="G14" s="14" t="n"/>
    </row>
    <row r="15" ht="148" customHeight="1">
      <c r="A1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試験が終わった直後。
画角: result.jtl、jmeter.log、run-conditions.txt、html-report が 1 画面に入る。サイズが 0 でないこと。
文章は図の下に隠れてもよい。どの図かは 32_画像台帳 の IMG-29 を見る。</t>
        </is>
      </c>
      <c r="B15" s="15" t="n"/>
      <c r="C15" s="15" t="n"/>
      <c r="D15" s="15" t="n"/>
      <c r="E15" s="15" t="n"/>
      <c r="F15" s="15" t="n"/>
      <c r="G15" s="15" t="n"/>
    </row>
    <row r="16" ht="22" customHeight="1">
      <c r="A16" s="14" t="inlineStr">
        <is>
          <t>IMG-30    画像差し込み枠    html-report/index.html の Statistics 表</t>
        </is>
      </c>
      <c r="B16" s="14" t="n"/>
      <c r="C16" s="14" t="n"/>
      <c r="D16" s="14" t="n"/>
      <c r="E16" s="14" t="n"/>
      <c r="F16" s="14" t="n"/>
      <c r="G16" s="14" t="n"/>
    </row>
    <row r="17" ht="148" customHeight="1">
      <c r="A1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ブラウザで index.html を開いたところ。
画角: Transactions、Samples、Error %、Average、90th、95th、99th、Throughput が見える。
文章は図の下に隠れてもよい。どの図かは 32_画像台帳 の IMG-30 を見る。</t>
        </is>
      </c>
      <c r="B17" s="15" t="n"/>
      <c r="C17" s="15" t="n"/>
      <c r="D17" s="15" t="n"/>
      <c r="E17" s="15" t="n"/>
      <c r="F17" s="15" t="n"/>
      <c r="G17" s="15" t="n"/>
    </row>
    <row r="18" ht="24" customHeight="1">
      <c r="A18" s="5" t="inlineStr">
        <is>
          <t>result.jtl の列（この手順の user.properties）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6" t="inlineStr">
        <is>
          <t>列</t>
        </is>
      </c>
      <c r="B19" s="6" t="inlineStr">
        <is>
          <t>例</t>
        </is>
      </c>
      <c r="C19" s="6" t="inlineStr">
        <is>
          <t>意味</t>
        </is>
      </c>
      <c r="D19" s="6" t="inlineStr">
        <is>
          <t>単位</t>
        </is>
      </c>
      <c r="E19" s="6" t="inlineStr">
        <is>
          <t>分析での使い方</t>
        </is>
      </c>
      <c r="F19" s="6" t="inlineStr">
        <is>
          <t>注意</t>
        </is>
      </c>
      <c r="G19" s="6" t="inlineStr"/>
    </row>
    <row r="20" ht="32" customHeight="1">
      <c r="A20" s="7" t="inlineStr">
        <is>
          <t>timeStamp</t>
        </is>
      </c>
      <c r="B20" s="7" t="inlineStr">
        <is>
          <t>2026/10/04 15:00:01.234</t>
        </is>
      </c>
      <c r="C20" s="7" t="inlineStr">
        <is>
          <t>サンプルが終わった時刻。書式は user.properties。</t>
        </is>
      </c>
      <c r="D20" s="7" t="inlineStr">
        <is>
          <t>日時</t>
        </is>
      </c>
      <c r="E20" s="7" t="inlineStr">
        <is>
          <t>定常区間の切り出し。</t>
        </is>
      </c>
      <c r="F20" s="7" t="inlineStr">
        <is>
          <t>date_format と不一致だと HTML の軸がずれる。</t>
        </is>
      </c>
      <c r="G20" s="7" t="inlineStr"/>
    </row>
    <row r="21" ht="32" customHeight="1">
      <c r="A21" s="8" t="inlineStr">
        <is>
          <t>elapsed</t>
        </is>
      </c>
      <c r="B21" s="8" t="inlineStr">
        <is>
          <t>256</t>
        </is>
      </c>
      <c r="C21" s="8" t="inlineStr">
        <is>
          <t>所要時間。送信開始から応答を読み終わるまで。</t>
        </is>
      </c>
      <c r="D21" s="8" t="inlineStr">
        <is>
          <t>ミリ秒</t>
        </is>
      </c>
      <c r="E21" s="8" t="inlineStr">
        <is>
          <t>応答時間の本体。</t>
        </is>
      </c>
      <c r="F21" s="8" t="inlineStr">
        <is>
          <t>Latency と足さない。</t>
        </is>
      </c>
      <c r="G21" s="8" t="inlineStr"/>
    </row>
    <row r="22" ht="22" customHeight="1">
      <c r="A22" s="7" t="inlineStr">
        <is>
          <t>label</t>
        </is>
      </c>
      <c r="B22" s="7" t="inlineStr">
        <is>
          <t>HTTP_GET_orders</t>
        </is>
      </c>
      <c r="C22" s="7" t="inlineStr">
        <is>
          <t>要素の名前。</t>
        </is>
      </c>
      <c r="D22" s="7" t="inlineStr">
        <is>
          <t>文字</t>
        </is>
      </c>
      <c r="E22" s="7" t="inlineStr">
        <is>
          <t>報告の行のキー。</t>
        </is>
      </c>
      <c r="F22" s="7" t="inlineStr">
        <is>
          <t>同名は区別できない。</t>
        </is>
      </c>
      <c r="G22" s="7" t="inlineStr"/>
    </row>
    <row r="23" ht="44" customHeight="1">
      <c r="A23" s="8" t="inlineStr">
        <is>
          <t>responseCode</t>
        </is>
      </c>
      <c r="B23" s="8" t="inlineStr">
        <is>
          <t>200</t>
        </is>
      </c>
      <c r="C23" s="8" t="inlineStr">
        <is>
          <t>HTTP のコード。接続失敗時は Non HTTP response code で始まる長い文字。</t>
        </is>
      </c>
      <c r="D23" s="8" t="inlineStr">
        <is>
          <t>文字として扱う</t>
        </is>
      </c>
      <c r="E23" s="8" t="inlineStr">
        <is>
          <t>エラー内訳。</t>
        </is>
      </c>
      <c r="F23" s="8" t="inlineStr">
        <is>
          <t>Excel が 200 を数値にすると、文字コードの行と型が混ざる。23 で文字にする。</t>
        </is>
      </c>
      <c r="G23" s="8" t="inlineStr"/>
    </row>
    <row r="24" ht="32" customHeight="1">
      <c r="A24" s="7" t="inlineStr">
        <is>
          <t>responseMessage</t>
        </is>
      </c>
      <c r="B24" s="7" t="inlineStr">
        <is>
          <t>OK</t>
        </is>
      </c>
      <c r="C24" s="7" t="inlineStr">
        <is>
          <t>理由の短い文。</t>
        </is>
      </c>
      <c r="D24" s="7" t="inlineStr">
        <is>
          <t>文字</t>
        </is>
      </c>
      <c r="E24" s="7" t="inlineStr">
        <is>
          <t>エラー内訳。</t>
        </is>
      </c>
      <c r="F24" s="7" t="inlineStr">
        <is>
          <t>成功行はほぼ OK。</t>
        </is>
      </c>
      <c r="G24" s="7" t="inlineStr"/>
    </row>
    <row r="25" ht="22" customHeight="1">
      <c r="A25" s="8" t="inlineStr">
        <is>
          <t>threadName</t>
        </is>
      </c>
      <c r="B25" s="8" t="inlineStr">
        <is>
          <t>TG_注文検索 1-1</t>
        </is>
      </c>
      <c r="C25" s="8" t="inlineStr">
        <is>
          <t>スレッドグループ名と番号。</t>
        </is>
      </c>
      <c r="D25" s="8" t="inlineStr">
        <is>
          <t>文字</t>
        </is>
      </c>
      <c r="E25" s="8" t="inlineStr">
        <is>
          <t>特定ユーザの追跡。</t>
        </is>
      </c>
      <c r="F25" s="8" t="inlineStr">
        <is>
          <t>個人名ではない。</t>
        </is>
      </c>
      <c r="G25" s="8" t="inlineStr"/>
    </row>
    <row r="26" ht="22" customHeight="1">
      <c r="A26" s="7" t="inlineStr">
        <is>
          <t>success</t>
        </is>
      </c>
      <c r="B26" s="7" t="inlineStr">
        <is>
          <t>true</t>
        </is>
      </c>
      <c r="C26" s="7" t="inlineStr">
        <is>
          <t>アサーションを含めた成否。</t>
        </is>
      </c>
      <c r="D26" s="7" t="inlineStr">
        <is>
          <t>true/false</t>
        </is>
      </c>
      <c r="E26" s="7" t="inlineStr">
        <is>
          <t>エラー率の分子は false。</t>
        </is>
      </c>
      <c r="F26" s="7" t="inlineStr">
        <is>
          <t>HTTP 200 でも false がある。</t>
        </is>
      </c>
      <c r="G26" s="7" t="inlineStr"/>
    </row>
    <row r="27" ht="32" customHeight="1">
      <c r="A27" s="8" t="inlineStr">
        <is>
          <t>failureMessage</t>
        </is>
      </c>
      <c r="B27" s="8" t="inlineStr">
        <is>
          <t>(空またはアサーション文)</t>
        </is>
      </c>
      <c r="C27" s="8" t="inlineStr">
        <is>
          <t>失敗の理由。assertion_results_failure_message=true のとき。</t>
        </is>
      </c>
      <c r="D27" s="8" t="inlineStr">
        <is>
          <t>文字</t>
        </is>
      </c>
      <c r="E27" s="8" t="inlineStr">
        <is>
          <t>エラー分類。</t>
        </is>
      </c>
      <c r="F27" s="8" t="inlineStr">
        <is>
          <t>成功行は空。</t>
        </is>
      </c>
      <c r="G27" s="8" t="inlineStr"/>
    </row>
    <row r="28" ht="32" customHeight="1">
      <c r="A28" s="7" t="inlineStr">
        <is>
          <t>bytes</t>
        </is>
      </c>
      <c r="B28" s="7" t="inlineStr">
        <is>
          <t>1024</t>
        </is>
      </c>
      <c r="C28" s="7" t="inlineStr">
        <is>
          <t>受信バイト。</t>
        </is>
      </c>
      <c r="D28" s="7" t="inlineStr">
        <is>
          <t>バイト</t>
        </is>
      </c>
      <c r="E28" s="7" t="inlineStr">
        <is>
          <t>転送量。</t>
        </is>
      </c>
      <c r="F28" s="7" t="inlineStr">
        <is>
          <t>本文を保存していなくてもサイズは入る。</t>
        </is>
      </c>
      <c r="G28" s="7" t="inlineStr"/>
    </row>
    <row r="29" ht="22" customHeight="1">
      <c r="A29" s="8" t="inlineStr">
        <is>
          <t>sentBytes</t>
        </is>
      </c>
      <c r="B29" s="8" t="inlineStr">
        <is>
          <t>512</t>
        </is>
      </c>
      <c r="C29" s="8" t="inlineStr">
        <is>
          <t>送信バイト。</t>
        </is>
      </c>
      <c r="D29" s="8" t="inlineStr">
        <is>
          <t>バイト</t>
        </is>
      </c>
      <c r="E29" s="8" t="inlineStr">
        <is>
          <t>転送量。</t>
        </is>
      </c>
      <c r="F29" s="8" t="inlineStr">
        <is>
          <t>設定を false にすると列が欠ける。</t>
        </is>
      </c>
      <c r="G29" s="8" t="inlineStr"/>
    </row>
    <row r="30" ht="32" customHeight="1">
      <c r="A30" s="7" t="inlineStr">
        <is>
          <t>grpThreads</t>
        </is>
      </c>
      <c r="B30" s="7" t="inlineStr">
        <is>
          <t>50</t>
        </is>
      </c>
      <c r="C30" s="7" t="inlineStr">
        <is>
          <t>そのグループの動いているスレッド数。</t>
        </is>
      </c>
      <c r="D30" s="7" t="inlineStr">
        <is>
          <t>人</t>
        </is>
      </c>
      <c r="E30" s="7" t="inlineStr">
        <is>
          <t>その時点の負荷の目安。</t>
        </is>
      </c>
      <c r="F30" s="7" t="inlineStr">
        <is>
          <t>allThreads と、グループが 1 つなら同じ。</t>
        </is>
      </c>
      <c r="G30" s="7" t="inlineStr"/>
    </row>
    <row r="31" ht="22" customHeight="1">
      <c r="A31" s="8" t="inlineStr">
        <is>
          <t>allThreads</t>
        </is>
      </c>
      <c r="B31" s="8" t="inlineStr">
        <is>
          <t>50</t>
        </is>
      </c>
      <c r="C31" s="8" t="inlineStr">
        <is>
          <t>全グループの合計。</t>
        </is>
      </c>
      <c r="D31" s="8" t="inlineStr">
        <is>
          <t>人</t>
        </is>
      </c>
      <c r="E31" s="8" t="inlineStr">
        <is>
          <t>同上。</t>
        </is>
      </c>
      <c r="F31" s="8" t="inlineStr">
        <is>
          <t>setUp の分が混じる時間帯がある。</t>
        </is>
      </c>
      <c r="G31" s="8" t="inlineStr"/>
    </row>
    <row r="32" ht="22" customHeight="1">
      <c r="A32" s="7" t="inlineStr">
        <is>
          <t>Latency</t>
        </is>
      </c>
      <c r="B32" s="7" t="inlineStr">
        <is>
          <t>180</t>
        </is>
      </c>
      <c r="C32" s="7" t="inlineStr">
        <is>
          <t>最初の 1 バイトを受け取るまで。</t>
        </is>
      </c>
      <c r="D32" s="7" t="inlineStr">
        <is>
          <t>ミリ秒</t>
        </is>
      </c>
      <c r="E32" s="7" t="inlineStr">
        <is>
          <t>サーバ処理と接続の切り分け。</t>
        </is>
      </c>
      <c r="F32" s="7" t="inlineStr">
        <is>
          <t>elapsed より大きくはならない。</t>
        </is>
      </c>
      <c r="G32" s="7" t="inlineStr"/>
    </row>
    <row r="33" ht="32" customHeight="1">
      <c r="A33" s="8" t="inlineStr">
        <is>
          <t>Connect</t>
        </is>
      </c>
      <c r="B33" s="8" t="inlineStr">
        <is>
          <t>20</t>
        </is>
      </c>
      <c r="C33" s="8" t="inlineStr">
        <is>
          <t>接続確立まで。</t>
        </is>
      </c>
      <c r="D33" s="8" t="inlineStr">
        <is>
          <t>ミリ秒</t>
        </is>
      </c>
      <c r="E33" s="8" t="inlineStr">
        <is>
          <t>ここだけ大きいならネットワークや接続待ち。</t>
        </is>
      </c>
      <c r="F33" s="8" t="inlineStr">
        <is>
          <t>Keep-Alive で 0 に近い行が混ざる。</t>
        </is>
      </c>
      <c r="G33" s="8" t="inlineStr"/>
    </row>
    <row r="34" ht="32" customHeight="1">
      <c r="A34" s="7" t="inlineStr">
        <is>
          <t>URL</t>
        </is>
      </c>
      <c r="B34" s="7" t="inlineStr">
        <is>
          <t>https://...</t>
        </is>
      </c>
      <c r="C34" s="7" t="inlineStr">
        <is>
          <t>url=true のとき。</t>
        </is>
      </c>
      <c r="D34" s="7" t="inlineStr">
        <is>
          <t>文字</t>
        </is>
      </c>
      <c r="E34" s="7" t="inlineStr">
        <is>
          <t>打ち先の確認。</t>
        </is>
      </c>
      <c r="F34" s="7" t="inlineStr">
        <is>
          <t>クエリに秘密が付く設計なら、この列の配布に注意。</t>
        </is>
      </c>
      <c r="G34" s="7" t="inlineStr"/>
    </row>
    <row r="36" ht="44" customHeight="1">
      <c r="A36" s="18" t="inlineStr">
        <is>
          <t>HTML ダッシュボードが求める列は、公式の Generating Dashboard にある。bytes、label、Latency、responseCode、responseMessage、success、thread_counts、threadName、elapsed、Connect、失敗メッセージ。時刻書式は時間を含める。この手順の 31 はその既定に、Excel で読める日時と date_format の対を足したもの。response_data は公式のダッシュボード要件ではないので false のままにする。</t>
        </is>
      </c>
      <c r="B36" s="18" t="n"/>
      <c r="C36" s="18" t="n"/>
      <c r="D36" s="18" t="n"/>
      <c r="E36" s="18" t="n"/>
      <c r="F36" s="18" t="n"/>
      <c r="G36" s="18" t="n"/>
    </row>
  </sheetData>
  <mergeCells count="12">
    <mergeCell ref="A36:G36"/>
    <mergeCell ref="A14:G14"/>
    <mergeCell ref="A1:G1"/>
    <mergeCell ref="A17:G17"/>
    <mergeCell ref="A18:G18"/>
    <mergeCell ref="A3:G3"/>
    <mergeCell ref="A6:G6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18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回収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その回の結果フォルダを、丸ごと端末へ戻す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index.html だけを戻すと、グラフが欠ける。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手順</t>
        </is>
      </c>
      <c r="B6" s="6" t="inlineStr">
        <is>
          <t>どこで</t>
        </is>
      </c>
      <c r="C6" s="6" t="inlineStr">
        <is>
          <t>操作</t>
        </is>
      </c>
      <c r="D6" s="6" t="inlineStr">
        <is>
          <t>入力する値</t>
        </is>
      </c>
      <c r="E6" s="6" t="inlineStr">
        <is>
          <t>うまくいったときの見え方</t>
        </is>
      </c>
      <c r="F6" s="6" t="inlineStr">
        <is>
          <t>つまずきやすい点</t>
        </is>
      </c>
      <c r="G6" s="6" t="inlineStr">
        <is>
          <t>画像</t>
        </is>
      </c>
    </row>
    <row r="7" ht="56" customHeight="1">
      <c r="A7" s="7" t="inlineStr">
        <is>
          <t>1</t>
        </is>
      </c>
      <c r="B7" s="7" t="inlineStr">
        <is>
          <t>Linux</t>
        </is>
      </c>
      <c r="C7" s="7" t="inlineStr">
        <is>
          <t>戻すパスを 1 つに決める。試験中のフォルダと、前の回を混ぜない。</t>
        </is>
      </c>
      <c r="D7" s="7" t="inlineStr">
        <is>
          <t>ls -d /opt/jmeter/results/order-search_*</t>
        </is>
      </c>
      <c r="E7" s="7" t="inlineStr">
        <is>
          <t>時刻入りのフォルダが並ぶ。</t>
        </is>
      </c>
      <c r="F7" s="7" t="inlineStr">
        <is>
          <t>最新と思ったフォルダが、失敗した試し実行であることがある。run-conditions.txt の threads を見てから決める。</t>
        </is>
      </c>
      <c r="G7" s="7" t="inlineStr"/>
    </row>
    <row r="8" ht="32" customHeight="1">
      <c r="A8" s="8" t="inlineStr">
        <is>
          <t>2</t>
        </is>
      </c>
      <c r="B8" s="8" t="inlineStr">
        <is>
          <t>Linux</t>
        </is>
      </c>
      <c r="C8" s="8" t="inlineStr">
        <is>
          <t>jtl の行数の当たりを見る。0 や 1 ではないこと。</t>
        </is>
      </c>
      <c r="D8" s="8" t="inlineStr">
        <is>
          <t>wc -l /opt/jmeter/results/order-search_日時/result.jtl</t>
        </is>
      </c>
      <c r="E8" s="8" t="inlineStr">
        <is>
          <t>ヘッダ 1 行 + サンプル行。</t>
        </is>
      </c>
      <c r="F8" s="8" t="inlineStr">
        <is>
          <t>数万行を cat で開かない。</t>
        </is>
      </c>
      <c r="G8" s="8" t="inlineStr"/>
    </row>
    <row r="9" ht="32" customHeight="1">
      <c r="A9" s="7" t="inlineStr">
        <is>
          <t>3</t>
        </is>
      </c>
      <c r="B9" s="7" t="inlineStr">
        <is>
          <t>端末</t>
        </is>
      </c>
      <c r="C9" s="7" t="inlineStr">
        <is>
          <t>受け皿を作る。</t>
        </is>
      </c>
      <c r="D9" s="7" t="inlineStr">
        <is>
          <t>mkdir C:\LoadTest\results は初回だけ。</t>
        </is>
      </c>
      <c r="E9" s="7" t="inlineStr">
        <is>
          <t>フォルダがある。</t>
        </is>
      </c>
      <c r="F9" s="7" t="inlineStr">
        <is>
          <t>scenarios フォルダへ結果を混ぜない。</t>
        </is>
      </c>
      <c r="G9" s="7" t="inlineStr"/>
    </row>
    <row r="10" ht="56" customHeight="1">
      <c r="A10" s="8" t="inlineStr">
        <is>
          <t>4</t>
        </is>
      </c>
      <c r="B10" s="8" t="inlineStr">
        <is>
          <t>端末 PowerShell</t>
        </is>
      </c>
      <c r="C10" s="8" t="inlineStr">
        <is>
          <t>フォルダごとコピーする。</t>
        </is>
      </c>
      <c r="D10" s="8" t="inlineStr">
        <is>
          <t>scp -r loadtest@jmeter-runner.example.internal:/opt/jmeter/results/order-search_20261004_150000 C:\LoadTest\results\</t>
        </is>
      </c>
      <c r="E10" s="8" t="inlineStr">
        <is>
          <t>プロンプトが戻る。</t>
        </is>
      </c>
      <c r="F10" s="8" t="inlineStr">
        <is>
          <t>途中で切れたら、そのフォルダを削除して取り直す。中途半端な html-report は真っ白になる。</t>
        </is>
      </c>
      <c r="G10" s="8" t="inlineStr"/>
    </row>
    <row r="11" ht="32" customHeight="1">
      <c r="A11" s="7" t="inlineStr">
        <is>
          <t>5</t>
        </is>
      </c>
      <c r="B11" s="7" t="inlineStr">
        <is>
          <t>WinSCP</t>
        </is>
      </c>
      <c r="C11" s="7" t="inlineStr">
        <is>
          <t>右の results から、その回のフォルダを左へドラッグする。</t>
        </is>
      </c>
      <c r="D11" s="7" t="inlineStr">
        <is>
          <t>フォルダ単位。</t>
        </is>
      </c>
      <c r="E11" s="7" t="inlineStr">
        <is>
          <t>左に html-report まで見える。</t>
        </is>
      </c>
      <c r="F11" s="7" t="inlineStr">
        <is>
          <t>result.jtl だけドラッグして json を忘れる。</t>
        </is>
      </c>
      <c r="G11" s="7" t="inlineStr">
        <is>
          <t>下の枠</t>
        </is>
      </c>
    </row>
    <row r="12" ht="44" customHeight="1">
      <c r="A12" s="8" t="inlineStr">
        <is>
          <t>6</t>
        </is>
      </c>
      <c r="B12" s="8" t="inlineStr">
        <is>
          <t>端末</t>
        </is>
      </c>
      <c r="C12" s="8" t="inlineStr">
        <is>
          <t>中身を確認する。</t>
        </is>
      </c>
      <c r="D12" s="8" t="inlineStr">
        <is>
          <t>result.jtl、jmeter.log、run-conditions.txt、html-report\index.html、html-report\statistics.json</t>
        </is>
      </c>
      <c r="E12" s="8" t="inlineStr">
        <is>
          <t>5 つがある。</t>
        </is>
      </c>
      <c r="F12" s="8" t="inlineStr">
        <is>
          <t>jtl をダブルクリックして Excel が直接開こうとする。数十万行で固まる。23 の手順で開く。</t>
        </is>
      </c>
      <c r="G12" s="8" t="inlineStr"/>
    </row>
    <row r="13" ht="68" customHeight="1">
      <c r="A13" s="7" t="inlineStr">
        <is>
          <t>7</t>
        </is>
      </c>
      <c r="B13" s="7" t="inlineStr">
        <is>
          <t>ブラウザ</t>
        </is>
      </c>
      <c r="C13" s="7" t="inlineStr">
        <is>
          <t>index.html を開いて、図が描かれているか見る。</t>
        </is>
      </c>
      <c r="D13" s="7" t="inlineStr">
        <is>
          <t>html-report\index.html をダブルクリック。</t>
        </is>
      </c>
      <c r="E13" s="7" t="inlineStr">
        <is>
          <t>Statistics に行がある。</t>
        </is>
      </c>
      <c r="F13" s="7" t="inlineStr">
        <is>
          <t>file をメールに添付して単体で送ると、相手のブラウザではグラフが出ない。フォルダごと渡すか、必要な図だけをこの手順書の枠へ貼る。</t>
        </is>
      </c>
      <c r="G13" s="7" t="inlineStr">
        <is>
          <t>下の枠</t>
        </is>
      </c>
    </row>
    <row r="15" ht="22" customHeight="1">
      <c r="A15" s="14" t="inlineStr">
        <is>
          <t>IMG-31    画像差し込み枠    端末の results フォルダ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scp または WinSCP のあと。
画角: 1 回分のフォルダが開いていて、jtl、log、txt、html-report が見える。
文章は図の下に隠れてもよい。どの図かは 32_画像台帳 の IMG-31 を見る。</t>
        </is>
      </c>
      <c r="B16" s="15" t="n"/>
      <c r="C16" s="15" t="n"/>
      <c r="D16" s="15" t="n"/>
      <c r="E16" s="15" t="n"/>
      <c r="F16" s="15" t="n"/>
      <c r="G16" s="15" t="n"/>
    </row>
    <row r="17" ht="22" customHeight="1">
      <c r="A17" s="14" t="inlineStr">
        <is>
          <t>IMG-32    画像差し込み枠    ブラウザのダッシュボード先頭</t>
        </is>
      </c>
      <c r="B17" s="14" t="n"/>
      <c r="C17" s="14" t="n"/>
      <c r="D17" s="14" t="n"/>
      <c r="E17" s="14" t="n"/>
      <c r="F17" s="14" t="n"/>
      <c r="G17" s="14" t="n"/>
    </row>
    <row r="18" ht="148" customHeight="1">
      <c r="A18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index.html を開いた直後。
画角: タイトルと、エラーの有無が分かる要約。個人情報のリクエスト URL が拡大されていれば隠す。
文章は図の下に隠れてもよい。どの図かは 32_画像台帳 の IMG-32 を見る。</t>
        </is>
      </c>
      <c r="B18" s="15" t="n"/>
      <c r="C18" s="15" t="n"/>
      <c r="D18" s="15" t="n"/>
      <c r="E18" s="15" t="n"/>
      <c r="F18" s="15" t="n"/>
      <c r="G18" s="15" t="n"/>
    </row>
  </sheetData>
  <mergeCells count="9">
    <mergeCell ref="A1:G1"/>
    <mergeCell ref="A17:G17"/>
    <mergeCell ref="A18:G18"/>
    <mergeCell ref="A3:G3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30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Excel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正本は statistics.json。jtl はエラーと切り分けに使う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jtl をダブルクリックしない。データ量で Excel が固まる。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A. statistics.json を読む（報告の数値）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手順</t>
        </is>
      </c>
      <c r="B7" s="6" t="inlineStr">
        <is>
          <t>どこで</t>
        </is>
      </c>
      <c r="C7" s="6" t="inlineStr">
        <is>
          <t>操作</t>
        </is>
      </c>
      <c r="D7" s="6" t="inlineStr">
        <is>
          <t>入力する値</t>
        </is>
      </c>
      <c r="E7" s="6" t="inlineStr">
        <is>
          <t>うまくいったときの見え方</t>
        </is>
      </c>
      <c r="F7" s="6" t="inlineStr">
        <is>
          <t>つまずきやすい点</t>
        </is>
      </c>
      <c r="G7" s="6" t="inlineStr">
        <is>
          <t>画像</t>
        </is>
      </c>
    </row>
    <row r="8" ht="32" customHeight="1">
      <c r="A8" s="7" t="inlineStr">
        <is>
          <t>1</t>
        </is>
      </c>
      <c r="B8" s="7" t="inlineStr">
        <is>
          <t>Excel</t>
        </is>
      </c>
      <c r="C8" s="7" t="inlineStr">
        <is>
          <t>空のブックではなく、26 のひな形があるこのブックのコピーを作る。</t>
        </is>
      </c>
      <c r="D8" s="7" t="inlineStr">
        <is>
          <t>ファイル → 名前を付けて保存。試験名をファイル名にする。</t>
        </is>
      </c>
      <c r="E8" s="7" t="inlineStr">
        <is>
          <t>手順書の原本は上書きしない。</t>
        </is>
      </c>
      <c r="F8" s="7" t="inlineStr">
        <is>
          <t>原本の 26 に本番数値を入れて、次の試験と混ぜる。</t>
        </is>
      </c>
      <c r="G8" s="7" t="inlineStr"/>
    </row>
    <row r="9" ht="44" customHeight="1">
      <c r="A9" s="8" t="inlineStr">
        <is>
          <t>2</t>
        </is>
      </c>
      <c r="B9" s="8" t="inlineStr">
        <is>
          <t>データ</t>
        </is>
      </c>
      <c r="C9" s="8" t="inlineStr">
        <is>
          <t>JSON を取り込む。リボンの文言は版で少し違う。無いときはリボンの検索で「JSON」を探す。</t>
        </is>
      </c>
      <c r="D9" s="8" t="inlineStr">
        <is>
          <t>データ → データの取得 → ファイルから → JSON から。</t>
        </is>
      </c>
      <c r="E9" s="8" t="inlineStr">
        <is>
          <t>statistics.json を選べる。</t>
        </is>
      </c>
      <c r="F9" s="8" t="inlineStr">
        <is>
          <t>index.html を選ばない。</t>
        </is>
      </c>
      <c r="G9" s="8" t="inlineStr">
        <is>
          <t>下の枠</t>
        </is>
      </c>
    </row>
    <row r="10" ht="68" customHeight="1">
      <c r="A10" s="7" t="inlineStr">
        <is>
          <t>3</t>
        </is>
      </c>
      <c r="B10" s="7" t="inlineStr">
        <is>
          <t>Power Query</t>
        </is>
      </c>
      <c r="C10" s="7" t="inlineStr">
        <is>
          <t>レコードの一覧になっているので、テーブルへ変換し、列を展開する。</t>
        </is>
      </c>
      <c r="D10" s="7" t="inlineStr">
        <is>
          <t>変換 → テーブルへ変換 → 展開。</t>
        </is>
      </c>
      <c r="E10" s="7" t="inlineStr">
        <is>
          <t>transaction、sampleCount、errorCount、errorPct、meanResTime、medianResTime、pct1ResTime、pct2ResTime、pct3ResTime、throughput の列が見える。</t>
        </is>
      </c>
      <c r="F10" s="7" t="inlineStr">
        <is>
          <t>Total 行と各 label が混在する。Total は合計であって、平均の平均ではない。報告では取引行を使い、Total は参考と書く。</t>
        </is>
      </c>
      <c r="G10" s="7" t="inlineStr"/>
    </row>
    <row r="11" ht="56" customHeight="1">
      <c r="A11" s="8" t="inlineStr">
        <is>
          <t>4</t>
        </is>
      </c>
      <c r="B11" s="8" t="inlineStr">
        <is>
          <t>型</t>
        </is>
      </c>
      <c r="C11" s="8" t="inlineStr">
        <is>
          <t>時間の列を小数、件数を整数、errorPct を数値にする。</t>
        </is>
      </c>
      <c r="D11" s="8" t="inlineStr">
        <is>
          <t>列の型の変更。</t>
        </is>
      </c>
      <c r="E11" s="8" t="inlineStr">
        <is>
          <t>pct2ResTime が 95 パーセンタイル（既定）。</t>
        </is>
      </c>
      <c r="F11" s="8" t="inlineStr">
        <is>
          <t>pct1 を 95% だと思い込む。既定は 90、95、99 の順。user.properties で変えていれば、変えた値を報告に書く。</t>
        </is>
      </c>
      <c r="G11" s="8" t="inlineStr"/>
    </row>
    <row r="12" ht="32" customHeight="1">
      <c r="A12" s="7" t="inlineStr">
        <is>
          <t>5</t>
        </is>
      </c>
      <c r="B12" s="7" t="inlineStr">
        <is>
          <t>読込</t>
        </is>
      </c>
      <c r="C12" s="7" t="inlineStr">
        <is>
          <t>閉じて読み込む。新しいシートに出してよい。</t>
        </is>
      </c>
      <c r="D12" s="7" t="inlineStr">
        <is>
          <t>閉じて読み込む。</t>
        </is>
      </c>
      <c r="E12" s="7" t="inlineStr">
        <is>
          <t>シートに表ができる。</t>
        </is>
      </c>
      <c r="F12" s="7" t="inlineStr">
        <is>
          <t>この表の数値を、手計算の別定義で上書きしない。</t>
        </is>
      </c>
      <c r="G12" s="7" t="inlineStr"/>
    </row>
    <row r="13" ht="32" customHeight="1">
      <c r="A13" s="8" t="inlineStr">
        <is>
          <t>6</t>
        </is>
      </c>
      <c r="B13" s="8" t="inlineStr">
        <is>
          <t>転記</t>
        </is>
      </c>
      <c r="C13" s="8" t="inlineStr">
        <is>
          <t>報告に使う行だけ、26 の記入欄へ値として貼る。</t>
        </is>
      </c>
      <c r="D13" s="8" t="inlineStr">
        <is>
          <t>値の貼り付け。数式の貼り付けではない。</t>
        </is>
      </c>
      <c r="E13" s="8" t="inlineStr">
        <is>
          <t>26 のサンプル数と平均が入る。</t>
        </is>
      </c>
      <c r="F13" s="8" t="inlineStr">
        <is>
          <t>Power Query のシートを消すと、更新できない。残す。</t>
        </is>
      </c>
      <c r="G13" s="8" t="inlineStr"/>
    </row>
    <row r="15" ht="22" customHeight="1">
      <c r="A15" s="14" t="inlineStr">
        <is>
          <t>IMG-33    画像差し込み枠    JSON の取り込みで statistics.json を選んだ画面</t>
        </is>
      </c>
      <c r="B15" s="14" t="n"/>
      <c r="C15" s="14" t="n"/>
      <c r="D15" s="14" t="n"/>
      <c r="E15" s="14" t="n"/>
      <c r="F15" s="14" t="n"/>
      <c r="G15" s="14" t="n"/>
    </row>
    <row r="16" ht="148" customHeight="1">
      <c r="A1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ファイル選択ダイアログ。
画角: 選んでいるファイル名が statistics.json と読める。
文章は図の下に隠れてもよい。どの図かは 32_画像台帳 の IMG-33 を見る。</t>
        </is>
      </c>
      <c r="B16" s="15" t="n"/>
      <c r="C16" s="15" t="n"/>
      <c r="D16" s="15" t="n"/>
      <c r="E16" s="15" t="n"/>
      <c r="F16" s="15" t="n"/>
      <c r="G16" s="15" t="n"/>
    </row>
    <row r="17" ht="24" customHeight="1">
      <c r="A17" s="5" t="inlineStr">
        <is>
          <t>B. エラー行だけ jtl から読む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手順</t>
        </is>
      </c>
      <c r="B18" s="6" t="inlineStr">
        <is>
          <t>どこで</t>
        </is>
      </c>
      <c r="C18" s="6" t="inlineStr">
        <is>
          <t>操作</t>
        </is>
      </c>
      <c r="D18" s="6" t="inlineStr">
        <is>
          <t>入力する値</t>
        </is>
      </c>
      <c r="E18" s="6" t="inlineStr">
        <is>
          <t>うまくいったときの見え方</t>
        </is>
      </c>
      <c r="F18" s="6" t="inlineStr">
        <is>
          <t>つまずきやすい点</t>
        </is>
      </c>
      <c r="G18" s="6" t="inlineStr">
        <is>
          <t>画像</t>
        </is>
      </c>
    </row>
    <row r="19" ht="32" customHeight="1">
      <c r="A19" s="7" t="inlineStr">
        <is>
          <t>1</t>
        </is>
      </c>
      <c r="B19" s="7" t="inlineStr">
        <is>
          <t>データ</t>
        </is>
      </c>
      <c r="C19" s="7" t="inlineStr">
        <is>
          <t>テキストまたは CSV から、result.jtl を選ぶ。</t>
        </is>
      </c>
      <c r="D19" s="7" t="inlineStr">
        <is>
          <t>データ → テキストまたは CSV から。</t>
        </is>
      </c>
      <c r="E19" s="7" t="inlineStr">
        <is>
          <t>プレビューが出る。</t>
        </is>
      </c>
      <c r="F19" s="7" t="inlineStr">
        <is>
          <t>ここで「読み込む」をすぐ押して全行をシートに置かない。</t>
        </is>
      </c>
      <c r="G19" s="7" t="inlineStr">
        <is>
          <t>下の枠</t>
        </is>
      </c>
    </row>
    <row r="20" ht="56" customHeight="1">
      <c r="A20" s="8" t="inlineStr">
        <is>
          <t>2</t>
        </is>
      </c>
      <c r="B20" s="8" t="inlineStr">
        <is>
          <t>プレビュー</t>
        </is>
      </c>
      <c r="C20" s="8" t="inlineStr">
        <is>
          <t>元のファイルを 65001 Unicode (UTF-8)、区切り記号をコンマにする。</t>
        </is>
      </c>
      <c r="D20" s="8" t="inlineStr">
        <is>
          <t>データの変換 を押して Power Query へ進む。</t>
        </is>
      </c>
      <c r="E20" s="8" t="inlineStr">
        <is>
          <t>1 行目が列名。</t>
        </is>
      </c>
      <c r="F20" s="8" t="inlineStr">
        <is>
          <t>Shift_JIS のまま開くと日本語の label が壊れる。この手順の jtl は ASCII 中心だが、UTF-8 で開く。</t>
        </is>
      </c>
      <c r="G20" s="8" t="inlineStr"/>
    </row>
    <row r="21" ht="56" customHeight="1">
      <c r="A21" s="7" t="inlineStr">
        <is>
          <t>3</t>
        </is>
      </c>
      <c r="B21" s="7" t="inlineStr">
        <is>
          <t>型</t>
        </is>
      </c>
      <c r="C21" s="7" t="inlineStr">
        <is>
          <t>responseCode をテキストにする。timeStamp を日時、elapsed を整数、success を true/false にする。</t>
        </is>
      </c>
      <c r="D21" s="7" t="inlineStr">
        <is>
          <t>列をクリック → データ型。</t>
        </is>
      </c>
      <c r="E21" s="7" t="inlineStr">
        <is>
          <t>200 が文字列 200。</t>
        </is>
      </c>
      <c r="F21" s="7" t="inlineStr">
        <is>
          <t>数値の 200 と、Non HTTP response code の文字列が同じ列でエラーになる。テキストにすれば両方残る。</t>
        </is>
      </c>
      <c r="G21" s="7" t="inlineStr"/>
    </row>
    <row r="22" ht="44" customHeight="1">
      <c r="A22" s="8" t="inlineStr">
        <is>
          <t>4</t>
        </is>
      </c>
      <c r="B22" s="8" t="inlineStr">
        <is>
          <t>絞る</t>
        </is>
      </c>
      <c r="C22" s="8" t="inlineStr">
        <is>
          <t>success が false の行だけにする。</t>
        </is>
      </c>
      <c r="D22" s="8" t="inlineStr">
        <is>
          <t>success 列のフィルタ → false。</t>
        </is>
      </c>
      <c r="E22" s="8" t="inlineStr">
        <is>
          <t>失敗行だけが残る。</t>
        </is>
      </c>
      <c r="F22" s="8" t="inlineStr">
        <is>
          <t>true を消すフィルタを間違えて、成功だけをエラー分析と称する。</t>
        </is>
      </c>
      <c r="G22" s="8" t="inlineStr"/>
    </row>
    <row r="23" ht="56" customHeight="1">
      <c r="A23" s="7" t="inlineStr">
        <is>
          <t>5</t>
        </is>
      </c>
      <c r="B23" s="7" t="inlineStr">
        <is>
          <t>件数を見る</t>
        </is>
      </c>
      <c r="C23" s="7" t="inlineStr">
        <is>
          <t>フィルタ後の行数が、Excel に置ける量か見る。数万行の失敗なら、responseCode でグループ化してから読み込む。</t>
        </is>
      </c>
      <c r="D23" s="7" t="inlineStr">
        <is>
          <t>ホーム → グループ化。列 responseCode と label。件数。</t>
        </is>
      </c>
      <c r="E23" s="7" t="inlineStr">
        <is>
          <t>内訳の表になる。</t>
        </is>
      </c>
      <c r="F23" s="7" t="inlineStr">
        <is>
          <t>百万行の失敗をシートに置いて、ファイルが開けなくなる。</t>
        </is>
      </c>
      <c r="G23" s="7" t="inlineStr"/>
    </row>
    <row r="24" ht="44" customHeight="1">
      <c r="A24" s="8" t="inlineStr">
        <is>
          <t>6</t>
        </is>
      </c>
      <c r="B24" s="8" t="inlineStr">
        <is>
          <t>読み込む</t>
        </is>
      </c>
      <c r="C24" s="8" t="inlineStr">
        <is>
          <t>閉じて読み込む。</t>
        </is>
      </c>
      <c r="D24" s="8" t="inlineStr">
        <is>
          <t>新しいシート。名前を エラー内訳 にする。</t>
        </is>
      </c>
      <c r="E24" s="8" t="inlineStr">
        <is>
          <t>26 から参照できる。</t>
        </is>
      </c>
      <c r="F24" s="8" t="inlineStr">
        <is>
          <t>全件 jtl のシートを報告ブックに残して、開くたびに数分待つ。</t>
        </is>
      </c>
      <c r="G24" s="8" t="inlineStr"/>
    </row>
    <row r="26" ht="22" customHeight="1">
      <c r="A26" s="14" t="inlineStr">
        <is>
          <t>IMG-34    画像差し込み枠    CSV 取り込みのプレビュー</t>
        </is>
      </c>
      <c r="B26" s="14" t="n"/>
      <c r="C26" s="14" t="n"/>
      <c r="D26" s="14" t="n"/>
      <c r="E26" s="14" t="n"/>
      <c r="F26" s="14" t="n"/>
      <c r="G26" s="14" t="n"/>
    </row>
    <row r="27" ht="148" customHeight="1">
      <c r="A2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区切り記号をコンマにしたあと。
画角: 列名 timeStamp、elapsed、label、responseCode、success が見える。データの中身の個人情報は写さない。
文章は図の下に隠れてもよい。どの図かは 32_画像台帳 の IMG-34 を見る。</t>
        </is>
      </c>
      <c r="B27" s="15" t="n"/>
      <c r="C27" s="15" t="n"/>
      <c r="D27" s="15" t="n"/>
      <c r="E27" s="15" t="n"/>
      <c r="F27" s="15" t="n"/>
      <c r="G27" s="15" t="n"/>
    </row>
    <row r="28" ht="24" customHeight="1">
      <c r="A28" s="5" t="inlineStr">
        <is>
          <t>C. 全行をシートに置いてよいとき</t>
        </is>
      </c>
      <c r="B28" s="5" t="n"/>
      <c r="C28" s="5" t="n"/>
      <c r="D28" s="5" t="n"/>
      <c r="E28" s="5" t="n"/>
      <c r="F28" s="5" t="n"/>
      <c r="G28" s="5" t="n"/>
    </row>
    <row r="29" ht="44" customHeight="1">
      <c r="A29" s="18" t="inlineStr">
        <is>
          <t>目安は、サンプル数がおおよそ 20 万行までで、PC のメモリに余裕があるとき。それを超える場合は A と B だけにする。全行を置く場合も、ダブルクリックではなく「テキストまたは CSV から」を使う。置いたあとは 27 の数式と同じ考え方でピボットテーブルを作る。ピボットの値フィールド: サンプル数は行数、平均は elapsed の平均、エラーは success が false の件数。パーセンタイルはピボット標準機能には無いので、代表値は statistics.json の pct2ResTime を使う。</t>
        </is>
      </c>
      <c r="B29" s="18" t="n"/>
      <c r="C29" s="18" t="n"/>
      <c r="D29" s="18" t="n"/>
      <c r="E29" s="18" t="n"/>
      <c r="F29" s="18" t="n"/>
      <c r="G29" s="18" t="n"/>
    </row>
    <row r="30" ht="32" customHeight="1">
      <c r="A30" s="18" t="inlineStr">
        <is>
          <t>Cognito の setUp で出る HTTP_POST_cognito_token は 1 件の準備。26 の取引表には業務の label だけを値で貼る。トークン取得は条件欄に、1 回、応答 200、expires_in が持続秒より長い、と書く。34 の末尾。</t>
        </is>
      </c>
      <c r="B30" s="18" t="n"/>
      <c r="C30" s="18" t="n"/>
      <c r="D30" s="18" t="n"/>
      <c r="E30" s="18" t="n"/>
      <c r="F30" s="18" t="n"/>
      <c r="G30" s="18" t="n"/>
    </row>
  </sheetData>
  <mergeCells count="14">
    <mergeCell ref="A1:G1"/>
    <mergeCell ref="A17:G17"/>
    <mergeCell ref="A27:G27"/>
    <mergeCell ref="A3:G3"/>
    <mergeCell ref="A6:G6"/>
    <mergeCell ref="A4:G4"/>
    <mergeCell ref="A26:G26"/>
    <mergeCell ref="A30:G30"/>
    <mergeCell ref="A2:G2"/>
    <mergeCell ref="A16:G16"/>
    <mergeCell ref="A15:G15"/>
    <mergeCell ref="A29:G29"/>
    <mergeCell ref="A28:G28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22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分析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数値の定義を揃えてから、文章を書く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平均だけを並べて合格にしない。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順</t>
        </is>
      </c>
      <c r="B6" s="6" t="inlineStr">
        <is>
          <t>やること</t>
        </is>
      </c>
      <c r="C6" s="6" t="inlineStr">
        <is>
          <t>使うもの</t>
        </is>
      </c>
      <c r="D6" s="6" t="inlineStr">
        <is>
          <t>書き方</t>
        </is>
      </c>
      <c r="E6" s="6" t="inlineStr">
        <is>
          <t>落とし穴</t>
        </is>
      </c>
      <c r="F6" s="6" t="inlineStr"/>
      <c r="G6" s="6" t="inlineStr"/>
    </row>
    <row r="7" ht="32" customHeight="1">
      <c r="A7" s="7" t="inlineStr">
        <is>
          <t>1</t>
        </is>
      </c>
      <c r="B7" s="7" t="inlineStr">
        <is>
          <t>条件を写す。</t>
        </is>
      </c>
      <c r="C7" s="7" t="inlineStr">
        <is>
          <t>run-conditions.txt と jmeter -v の記録。</t>
        </is>
      </c>
      <c r="D7" s="7" t="inlineStr">
        <is>
          <t>人数、Ramp-Up 秒、持続秒、思考時間の有無、JMeter と Java の版、対象ホスト。</t>
        </is>
      </c>
      <c r="E7" s="7" t="inlineStr">
        <is>
          <t>記憶で人数を書く。</t>
        </is>
      </c>
      <c r="F7" s="7" t="inlineStr"/>
      <c r="G7" s="7" t="inlineStr"/>
    </row>
    <row r="8" ht="44" customHeight="1">
      <c r="A8" s="8" t="inlineStr">
        <is>
          <t>2</t>
        </is>
      </c>
      <c r="B8" s="8" t="inlineStr">
        <is>
          <t>報告する名前を決める。</t>
        </is>
      </c>
      <c r="C8" s="8" t="inlineStr">
        <is>
          <t>statistics.json のキー。</t>
        </is>
      </c>
      <c r="D8" s="8" t="inlineStr">
        <is>
          <t>HTTP_POST_login と HTTP_GET_orders を明細にする。親サンプルはオフなので TX_検索 は行として出ていない想定。</t>
        </is>
      </c>
      <c r="E8" s="8" t="inlineStr">
        <is>
          <t>コントローラ名とリクエスト名を足す。</t>
        </is>
      </c>
      <c r="F8" s="8" t="inlineStr"/>
      <c r="G8" s="8" t="inlineStr"/>
    </row>
    <row r="9" ht="44" customHeight="1">
      <c r="A9" s="7" t="inlineStr">
        <is>
          <t>3</t>
        </is>
      </c>
      <c r="B9" s="7" t="inlineStr">
        <is>
          <t>件数とエラー率を書く。</t>
        </is>
      </c>
      <c r="C9" s="7" t="inlineStr">
        <is>
          <t>sampleCount、errorCount、errorPct。</t>
        </is>
      </c>
      <c r="D9" s="7" t="inlineStr">
        <is>
          <t>エラー率の隣に件数を書く。0.1% でも母数が 100 なら失敗は 0 件の丸めと区別が付かないことがあるので、件数を併記する。</t>
        </is>
      </c>
      <c r="E9" s="7" t="inlineStr">
        <is>
          <t>割合だけを書く。</t>
        </is>
      </c>
      <c r="F9" s="7" t="inlineStr"/>
      <c r="G9" s="7" t="inlineStr"/>
    </row>
    <row r="10" ht="22" customHeight="1">
      <c r="A10" s="8" t="inlineStr">
        <is>
          <t>4</t>
        </is>
      </c>
      <c r="B10" s="8" t="inlineStr">
        <is>
          <t>応答時間を 4 つ書く。</t>
        </is>
      </c>
      <c r="C10" s="8" t="inlineStr">
        <is>
          <t>mean、median、pct2（95）、max。</t>
        </is>
      </c>
      <c r="D10" s="8" t="inlineStr">
        <is>
          <t>単位はミリ秒。平均と 95% の両方。</t>
        </is>
      </c>
      <c r="E10" s="8" t="inlineStr">
        <is>
          <t>平均だけが基準内なので合格、とする。</t>
        </is>
      </c>
      <c r="F10" s="8" t="inlineStr"/>
      <c r="G10" s="8" t="inlineStr"/>
    </row>
    <row r="11" ht="44" customHeight="1">
      <c r="A11" s="7" t="inlineStr">
        <is>
          <t>5</t>
        </is>
      </c>
      <c r="B11" s="7" t="inlineStr">
        <is>
          <t>スループットを書く。</t>
        </is>
      </c>
      <c r="C11" s="7" t="inlineStr">
        <is>
          <t>throughput。単位は件/秒。</t>
        </is>
      </c>
      <c r="D11" s="7" t="inlineStr">
        <is>
          <t>「その label の全サンプルを、その label の最初から最後までの時間で割った値」と注釈を 1 行付ける。</t>
        </is>
      </c>
      <c r="E11" s="7" t="inlineStr">
        <is>
          <t>スレッド数をスループットと書く。</t>
        </is>
      </c>
      <c r="F11" s="7" t="inlineStr"/>
      <c r="G11" s="7" t="inlineStr"/>
    </row>
    <row r="12" ht="44" customHeight="1">
      <c r="A12" s="8" t="inlineStr">
        <is>
          <t>6</t>
        </is>
      </c>
      <c r="B12" s="8" t="inlineStr">
        <is>
          <t>区間を言葉にする。</t>
        </is>
      </c>
      <c r="C12" s="8" t="inlineStr">
        <is>
          <t>ダッシュボードの Response Times Over Time と、必要なら jtl の時刻。</t>
        </is>
      </c>
      <c r="D12" s="8" t="inlineStr">
        <is>
          <t>Ramp-Up の 60 秒を含む値であることを書く。定常だけを採るときは、開始 60 秒を除いた再集計だと書く。</t>
        </is>
      </c>
      <c r="E12" s="8" t="inlineStr">
        <is>
          <t>黙って定常だけを採り、条件の持続時間と母数を一致させない。</t>
        </is>
      </c>
      <c r="F12" s="8" t="inlineStr"/>
      <c r="G12" s="8" t="inlineStr"/>
    </row>
    <row r="13" ht="32" customHeight="1">
      <c r="A13" s="7" t="inlineStr">
        <is>
          <t>7</t>
        </is>
      </c>
      <c r="B13" s="7" t="inlineStr">
        <is>
          <t>エラーを分類する。</t>
        </is>
      </c>
      <c r="C13" s="7" t="inlineStr">
        <is>
          <t>エラー行の responseCode と failureMessage。</t>
        </is>
      </c>
      <c r="D13" s="7" t="inlineStr">
        <is>
          <t>接続失敗、HTTP 5xx、HTTP 4xx、アサーション、の 4 つに数を分ける。</t>
        </is>
      </c>
      <c r="E13" s="7" t="inlineStr">
        <is>
          <t>全部を「サーバが遅い」と書く。接続失敗は届いていない。</t>
        </is>
      </c>
      <c r="F13" s="7" t="inlineStr"/>
      <c r="G13" s="7" t="inlineStr"/>
    </row>
    <row r="14" ht="56" customHeight="1">
      <c r="A14" s="8" t="inlineStr">
        <is>
          <t>8</t>
        </is>
      </c>
      <c r="B14" s="8" t="inlineStr">
        <is>
          <t>遅さの内訳を見る。</t>
        </is>
      </c>
      <c r="C14" s="8" t="inlineStr">
        <is>
          <t>Connect、Latency、elapsed。</t>
        </is>
      </c>
      <c r="D14" s="8" t="inlineStr">
        <is>
          <t>Connect が大きいなら経路。Latency が elapsed の大半なら相手の処理。elapsed だけが大きく Latency が小さいなら、応答のダウンロードに時間がかかっている。</t>
        </is>
      </c>
      <c r="E14" s="8" t="inlineStr">
        <is>
          <t>3 つを足して報告する。elapsed はすでに全体。</t>
        </is>
      </c>
      <c r="F14" s="8" t="inlineStr"/>
      <c r="G14" s="8" t="inlineStr"/>
    </row>
    <row r="15" ht="32" customHeight="1">
      <c r="A15" s="7" t="inlineStr">
        <is>
          <t>9</t>
        </is>
      </c>
      <c r="B15" s="7" t="inlineStr">
        <is>
          <t>合否を行ごとに付ける。</t>
        </is>
      </c>
      <c r="C15" s="7" t="inlineStr">
        <is>
          <t>26 の基準セル。</t>
        </is>
      </c>
      <c r="D15" s="7" t="inlineStr">
        <is>
          <t>1 行でも基準超過なら、その取引は不合格。総合は最悪の行に合わせる。</t>
        </is>
      </c>
      <c r="E15" s="7" t="inlineStr">
        <is>
          <t>総合の平均が基準内なので全取引合格、とする。</t>
        </is>
      </c>
      <c r="F15" s="7" t="inlineStr"/>
      <c r="G15" s="7" t="inlineStr"/>
    </row>
    <row r="16" ht="32" customHeight="1">
      <c r="A16" s="8" t="inlineStr">
        <is>
          <t>10</t>
        </is>
      </c>
      <c r="B16" s="8" t="inlineStr">
        <is>
          <t>図を 2 枚貼る。</t>
        </is>
      </c>
      <c r="C16" s="8" t="inlineStr">
        <is>
          <t>ダッシュボードの全体と、問題のあった取引の時間推移。</t>
        </is>
      </c>
      <c r="D16" s="8" t="inlineStr">
        <is>
          <t>26 の画像枠。図の下に、何の試験の何のグラフかを書く。</t>
        </is>
      </c>
      <c r="E16" s="8" t="inlineStr">
        <is>
          <t>装飾のグラフを増やして、基準との対応を書かない。</t>
        </is>
      </c>
      <c r="F16" s="8" t="inlineStr"/>
      <c r="G16" s="8" t="inlineStr"/>
    </row>
    <row r="18" ht="24" customHeight="1">
      <c r="A18" s="5" t="inlineStr">
        <is>
          <t>時間の読み分け</t>
        </is>
      </c>
      <c r="B18" s="5" t="n"/>
      <c r="C18" s="5" t="n"/>
      <c r="D18" s="5" t="n"/>
      <c r="E18" s="5" t="n"/>
      <c r="F18" s="5" t="n"/>
      <c r="G18" s="5" t="n"/>
    </row>
    <row r="19" ht="80" customHeight="1">
      <c r="A19" s="18" t="inlineStr">
        <is>
          <t>elapsed = 接続 + サーバが最初のバイトを返すまで + 残りのボディを読み終わるまで、をまとめたもの。内訳を足し算で再計算して elapsed と比べる必要はない。レポートでは elapsed を応答時間と呼び、内訳を見るときだけ Connect と Latency の語を使う。
パーセンタイルは「速い方から数えて、その割合の位置」。95% 値が 800 ミリ秒なら、サンプルの 95% は 800 ミリ秒以内に終わり、5% はそれより遅い。平均が 200 でも 95% が 800 なら、遅い側がいる。合格基準を平均だけに置かない理由がこれ。
ダッシュボードのパーセンタイルと、GUI の統計レポートのパーセンタイルは、件数が少ないと計算差が出る。公式の Generating Dashboard も、分布が広いと差が見える、と書いている。提出値は statistics.json に揃える。27 の手計算は、定義を理解するための小さい例で、提出値の置き換えではない。</t>
        </is>
      </c>
      <c r="B19" s="18" t="n"/>
      <c r="C19" s="18" t="n"/>
      <c r="D19" s="18" t="n"/>
      <c r="E19" s="18" t="n"/>
      <c r="F19" s="18" t="n"/>
      <c r="G19" s="18" t="n"/>
    </row>
    <row r="20" ht="22" customHeight="1">
      <c r="A20" s="14" t="inlineStr">
        <is>
          <t>IMG-35    画像差し込み枠    Response Times Over Time のグラフ</t>
        </is>
      </c>
      <c r="B20" s="14" t="n"/>
      <c r="C20" s="14" t="n"/>
      <c r="D20" s="14" t="n"/>
      <c r="E20" s="14" t="n"/>
      <c r="F20" s="14" t="n"/>
      <c r="G20" s="14" t="n"/>
    </row>
    <row r="21" ht="148" customHeight="1">
      <c r="A21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HTML レポートから、報告に使う取引だけを表示した状態。
画角: 縦軸がミリ秒、横軸が時刻、凡例に label 名。ランプアップの区間が目で分かる。
文章は図の下に隠れてもよい。どの図かは 32_画像台帳 の IMG-35 を見る。</t>
        </is>
      </c>
      <c r="B21" s="15" t="n"/>
      <c r="C21" s="15" t="n"/>
      <c r="D21" s="15" t="n"/>
      <c r="E21" s="15" t="n"/>
      <c r="F21" s="15" t="n"/>
      <c r="G21" s="15" t="n"/>
    </row>
    <row r="22" ht="32" customHeight="1">
      <c r="A22" s="18" t="inlineStr">
        <is>
          <t>認証つきの試験では、グラフに出す label も 26 に書く label も業務 API だけにする。HTTP_POST_cognito_token は 1 件なので、応答時間の推移にも合格判定にも入れない。401 と 403 は 37 と 39 で分けてから、エラー内訳の件数にする。</t>
        </is>
      </c>
      <c r="B22" s="18" t="n"/>
      <c r="C22" s="18" t="n"/>
      <c r="D22" s="18" t="n"/>
      <c r="E22" s="18" t="n"/>
      <c r="F22" s="18" t="n"/>
      <c r="G22" s="18" t="n"/>
    </row>
  </sheetData>
  <mergeCells count="10">
    <mergeCell ref="A1:G1"/>
    <mergeCell ref="A18:G18"/>
    <mergeCell ref="A3:G3"/>
    <mergeCell ref="A21:G21"/>
    <mergeCell ref="A22:G22"/>
    <mergeCell ref="A4:G4"/>
    <mergeCell ref="A20:G20"/>
    <mergeCell ref="A2:G2"/>
    <mergeCell ref="A19:G19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22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報告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合格の書き方と、見込みを書いてよい範囲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見込みは、測っていない人数を測ったように書く欄ではない。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判定のルール（26 の数式もこれ）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ルール</t>
        </is>
      </c>
      <c r="B7" s="6" t="inlineStr">
        <is>
          <t>内容</t>
        </is>
      </c>
      <c r="C7" s="6" t="inlineStr">
        <is>
          <t>例</t>
        </is>
      </c>
      <c r="D7" s="6" t="inlineStr">
        <is>
          <t>書いてはいけない例</t>
        </is>
      </c>
      <c r="E7" s="6" t="inlineStr"/>
      <c r="F7" s="6" t="inlineStr"/>
      <c r="G7" s="6" t="inlineStr"/>
    </row>
    <row r="8" ht="32" customHeight="1">
      <c r="A8" s="7" t="inlineStr">
        <is>
          <t>取引ごと</t>
        </is>
      </c>
      <c r="B8" s="7" t="inlineStr">
        <is>
          <t>サンプル数、エラー率、平均、95% 値を、その取引の基準と比べる。</t>
        </is>
      </c>
      <c r="C8" s="7" t="inlineStr">
        <is>
          <t>検索の 95% が 3000ms 以下、かつエラー率 1% 未満。</t>
        </is>
      </c>
      <c r="D8" s="7" t="inlineStr">
        <is>
          <t>全取引を混ぜた平均だけで検索が合格。</t>
        </is>
      </c>
      <c r="E8" s="7" t="inlineStr"/>
      <c r="F8" s="7" t="inlineStr"/>
      <c r="G8" s="7" t="inlineStr"/>
    </row>
    <row r="9" ht="32" customHeight="1">
      <c r="A9" s="8" t="inlineStr">
        <is>
          <t>総合</t>
        </is>
      </c>
      <c r="B9" s="8" t="inlineStr">
        <is>
          <t>取引が 1 つでも不合格なら総合不合格。全部合格なら総合合格。</t>
        </is>
      </c>
      <c r="C9" s="8" t="inlineStr">
        <is>
          <t>ログイン合格、検索不合格 → 総合不合格。</t>
        </is>
      </c>
      <c r="D9" s="8" t="inlineStr">
        <is>
          <t>重要でないから検索の不合格を総合では合格。</t>
        </is>
      </c>
      <c r="E9" s="8" t="inlineStr"/>
      <c r="F9" s="8" t="inlineStr"/>
      <c r="G9" s="8" t="inlineStr"/>
    </row>
    <row r="10" ht="22" customHeight="1">
      <c r="A10" s="7" t="inlineStr">
        <is>
          <t>母数</t>
        </is>
      </c>
      <c r="B10" s="7" t="inlineStr">
        <is>
          <t>件数を必ず書く。</t>
        </is>
      </c>
      <c r="C10" s="7" t="inlineStr">
        <is>
          <t>失敗 3 / 12000。</t>
        </is>
      </c>
      <c r="D10" s="7" t="inlineStr">
        <is>
          <t>エラー率 0%（件数を書かず、丸め）。</t>
        </is>
      </c>
      <c r="E10" s="7" t="inlineStr"/>
      <c r="F10" s="7" t="inlineStr"/>
      <c r="G10" s="7" t="inlineStr"/>
    </row>
    <row r="11" ht="32" customHeight="1">
      <c r="A11" s="8" t="inlineStr">
        <is>
          <t>区間</t>
        </is>
      </c>
      <c r="B11" s="8" t="inlineStr">
        <is>
          <t>ランプアップを含むかどうかを書く。</t>
        </is>
      </c>
      <c r="C11" s="8" t="inlineStr">
        <is>
          <t>持続 600 秒、うち起動 60 秒を含む。</t>
        </is>
      </c>
      <c r="D11" s="8" t="inlineStr">
        <is>
          <t>黙って後ろ 5 分だけを採って条件と違う母数にする。採るならその旨を書く。</t>
        </is>
      </c>
      <c r="E11" s="8" t="inlineStr"/>
      <c r="F11" s="8" t="inlineStr"/>
      <c r="G11" s="8" t="inlineStr"/>
    </row>
    <row r="12" ht="32" customHeight="1">
      <c r="A12" s="7" t="inlineStr">
        <is>
          <t>中断</t>
        </is>
      </c>
      <c r="B12" s="7" t="inlineStr">
        <is>
          <t>止めた試験は「中断」とし、中断時点の値だと書く。</t>
        </is>
      </c>
      <c r="C12" s="7" t="inlineStr">
        <is>
          <t>Err が 5% を超えたので stoptest。</t>
        </is>
      </c>
      <c r="D12" s="7" t="inlineStr">
        <is>
          <t>中断の数値を、最後まで流した試験と同列に比較する。</t>
        </is>
      </c>
      <c r="E12" s="7" t="inlineStr"/>
      <c r="F12" s="7" t="inlineStr"/>
      <c r="G12" s="7" t="inlineStr"/>
    </row>
    <row r="13" ht="44" customHeight="1">
      <c r="A13" s="8" t="inlineStr">
        <is>
          <t>環境</t>
        </is>
      </c>
      <c r="B13" s="8" t="inlineStr">
        <is>
          <t>1 台の実行サーバからの結果だと書く。</t>
        </is>
      </c>
      <c r="C13" s="8" t="inlineStr">
        <is>
          <t>実行サーバの CPU が先に飽和していないことを、可能なら別途確認した、と書く。確認していなければ「未確認」。</t>
        </is>
      </c>
      <c r="D13" s="8" t="inlineStr">
        <is>
          <t>JMeter 側の CPU を見ずに、相手サーバの限界だと断定する。</t>
        </is>
      </c>
      <c r="E13" s="8" t="inlineStr"/>
      <c r="F13" s="8" t="inlineStr"/>
      <c r="G13" s="8" t="inlineStr"/>
    </row>
    <row r="15" ht="24" customHeight="1">
      <c r="A15" s="5" t="inlineStr">
        <is>
          <t>見込みに書いてよいこと</t>
        </is>
      </c>
      <c r="B15" s="5" t="n"/>
      <c r="C15" s="5" t="n"/>
      <c r="D15" s="5" t="n"/>
      <c r="E15" s="5" t="n"/>
      <c r="F15" s="5" t="n"/>
      <c r="G15" s="5" t="n"/>
    </row>
    <row r="16" ht="105" customHeight="1">
      <c r="A16" s="18" t="inlineStr">
        <is>
          <t>書いてよいのは、今回の実測の内側だけ。
1) 目標人数のとき、95% 値が基準の何割だったか。基準 3000ms に対して 1500ms なら、応答時間の基準に対して半分を使った、と書く。
2) エラーが 0 のまま、応答時間が区間ごとに上がり続けていなければ、「この人数では頭打ちの兆候は、このグラフの範囲では見えない」と書く。
3) 次に試す人数は、今回の 1.5 倍など、一度に大きく飛ばさない値を提案する。提案であって、耐えることの断言ではない。
4) 応答時間が人数に対して曲がり始めた、エラーが出始めた、件/秒が増えなくなった、のどれかがあれば、その人数を「今回見えた限界の兆候」と書く。それより上は未測定と書く。
書いてはいけないのは、直線で引き延ばした結果。「50 人で 95% が 800ms だから 200 人でも 3200ms」は、待ち行列で遅れが曲がるので根拠にならない。測定していない 200 人を合格とも不合格とも書かない。</t>
        </is>
      </c>
      <c r="B16" s="18" t="n"/>
      <c r="C16" s="18" t="n"/>
      <c r="D16" s="18" t="n"/>
      <c r="E16" s="18" t="n"/>
      <c r="F16" s="18" t="n"/>
      <c r="G16" s="18" t="n"/>
    </row>
    <row r="17" ht="24" customHeight="1">
      <c r="A17" s="5" t="inlineStr">
        <is>
          <t>所見の文例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6" t="inlineStr">
        <is>
          <t>状況</t>
        </is>
      </c>
      <c r="B18" s="6" t="inlineStr">
        <is>
          <t>書き出しの例</t>
        </is>
      </c>
      <c r="C18" s="6" t="inlineStr">
        <is>
          <t>続けて書く事実</t>
        </is>
      </c>
      <c r="D18" s="6" t="inlineStr">
        <is>
          <t>見込みの文例</t>
        </is>
      </c>
      <c r="E18" s="6" t="inlineStr"/>
      <c r="F18" s="6" t="inlineStr"/>
      <c r="G18" s="6" t="inlineStr"/>
    </row>
    <row r="19" ht="44" customHeight="1">
      <c r="A19" s="7" t="inlineStr">
        <is>
          <t>基準内で頭打ち無し</t>
        </is>
      </c>
      <c r="B19" s="7" t="inlineStr">
        <is>
          <t>目標 50 人、持続 600 秒（起動 60 秒を含む）で、検索の 95% 値は基準 3000ms に対して 900ms、エラーは 0/件数。</t>
        </is>
      </c>
      <c r="C19" s="7" t="inlineStr">
        <is>
          <t>Response Times Over Time で、起動後に右肩上がりが続いていない。</t>
        </is>
      </c>
      <c r="D19" s="7" t="inlineStr">
        <is>
          <t>この条件の内側では余力がある。次は 75 人で同じ持続時間を測る。75 人より上は未測定。</t>
        </is>
      </c>
      <c r="E19" s="7" t="inlineStr"/>
      <c r="F19" s="7" t="inlineStr"/>
      <c r="G19" s="7" t="inlineStr"/>
    </row>
    <row r="20" ht="44" customHeight="1">
      <c r="A20" s="8" t="inlineStr">
        <is>
          <t>エラーは無いが 95% が超過</t>
        </is>
      </c>
      <c r="B20" s="8" t="inlineStr">
        <is>
          <t>エラーは 0 だが、検索の 95% 値が 4200ms で基準 3000ms を超えた。総合不合格。</t>
        </is>
      </c>
      <c r="C20" s="8" t="inlineStr">
        <is>
          <t>平均は 1000ms で、平均だけ見ると基準内に見える。</t>
        </is>
      </c>
      <c r="D20" s="8" t="inlineStr">
        <is>
          <t>平均を基準に替えない。遅い側の 5% を減らす対処のあと、同じ 50 人を再測定する。人数を増やす見込みは書かない。</t>
        </is>
      </c>
      <c r="E20" s="8" t="inlineStr"/>
      <c r="F20" s="8" t="inlineStr"/>
      <c r="G20" s="8" t="inlineStr"/>
    </row>
    <row r="21" ht="44" customHeight="1">
      <c r="A21" s="7" t="inlineStr">
        <is>
          <t>途中からエラーが増えた</t>
        </is>
      </c>
      <c r="B21" s="7" t="inlineStr">
        <is>
          <t>開始 4 分後から HTTP 500 が増え、累計エラー率が基準を超えたので shutdown した。</t>
        </is>
      </c>
      <c r="C21" s="7" t="inlineStr">
        <is>
          <t>それ以前の 95% 値は参考。試験としては中断。</t>
        </is>
      </c>
      <c r="D21" s="7" t="inlineStr">
        <is>
          <t>4 分時点の件数までは動作し、その後は不合格。連続 600 秒の耐性は未確認。</t>
        </is>
      </c>
      <c r="E21" s="7" t="inlineStr"/>
      <c r="F21" s="7" t="inlineStr"/>
      <c r="G21" s="7" t="inlineStr"/>
    </row>
    <row r="22" ht="44" customHeight="1">
      <c r="A22" s="8" t="inlineStr">
        <is>
          <t>件/秒が人数に比例しない</t>
        </is>
      </c>
      <c r="B22" s="8" t="inlineStr">
        <is>
          <t>20 人から 50 人へ増やしても、検索の件/秒が 30 から 32 へしか増えなかった。</t>
        </is>
      </c>
      <c r="C22" s="8" t="inlineStr">
        <is>
          <t>思考時間は 1〜3 秒で、人数の割に件/秒の上限が低い設計ではない。</t>
        </is>
      </c>
      <c r="D22" s="8" t="inlineStr">
        <is>
          <t>30 件/秒付近に飽和の兆候がある。次は 20 と 50 の間を刻むか、相手サーバの CPU を同時に見る。倍の人数は提案しない。</t>
        </is>
      </c>
      <c r="E22" s="8" t="inlineStr"/>
      <c r="F22" s="8" t="inlineStr"/>
      <c r="G22" s="8" t="inlineStr"/>
    </row>
  </sheetData>
  <mergeCells count="9">
    <mergeCell ref="A1:G1"/>
    <mergeCell ref="A17:G17"/>
    <mergeCell ref="A3:G3"/>
    <mergeCell ref="A6:G6"/>
    <mergeCell ref="A4:G4"/>
    <mergeCell ref="A2:G2"/>
    <mergeCell ref="A16:G16"/>
    <mergeCell ref="A15:G1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G64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提出用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負荷試験の結果と見込み（記入用紙）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グレーのセルが記入欄。白い数値の判定は数式。取引を 1 行でも不合格にすると総合が不合格になる。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35" customHeight="1">
      <c r="A6" s="20" t="inlineStr">
        <is>
          <t>このシートを試験ごとにコピーして記入する。手順書の原本には本番の数値を残さない。基準の例（エラー率 1%、平均 1000ms、95% 3000ms）は仮の値なので、合意した値に変える。変えると判定列が再計算される。</t>
        </is>
      </c>
      <c r="B6" s="20" t="n"/>
      <c r="C6" s="20" t="n"/>
      <c r="D6" s="20" t="n"/>
      <c r="E6" s="20" t="n"/>
      <c r="F6" s="20" t="n"/>
      <c r="G6" s="20" t="n"/>
    </row>
    <row r="7" ht="24" customHeight="1">
      <c r="A7" s="5" t="inlineStr">
        <is>
          <t>1. 文書</t>
        </is>
      </c>
      <c r="B7" s="5" t="n"/>
      <c r="C7" s="5" t="n"/>
      <c r="D7" s="5" t="n"/>
      <c r="E7" s="5" t="n"/>
      <c r="F7" s="5" t="n"/>
      <c r="G7" s="5" t="n"/>
    </row>
    <row r="8" ht="22" customHeight="1">
      <c r="A8" s="26" t="inlineStr">
        <is>
          <t>試験名</t>
        </is>
      </c>
      <c r="B8" s="27" t="inlineStr"/>
      <c r="C8" s="27" t="n"/>
      <c r="D8" s="26" t="inlineStr">
        <is>
          <t>実施日</t>
        </is>
      </c>
      <c r="E8" s="27" t="inlineStr"/>
      <c r="F8" s="27" t="n"/>
      <c r="G8" s="27" t="n"/>
    </row>
    <row r="9" ht="22" customHeight="1">
      <c r="A9" s="26" t="inlineStr">
        <is>
          <t>実施者</t>
        </is>
      </c>
      <c r="B9" s="27" t="inlineStr"/>
      <c r="C9" s="27" t="n"/>
      <c r="D9" s="26" t="inlineStr">
        <is>
          <t>確認者</t>
        </is>
      </c>
      <c r="E9" s="27" t="inlineStr"/>
      <c r="F9" s="27" t="n"/>
      <c r="G9" s="27" t="n"/>
    </row>
    <row r="10" ht="22" customHeight="1">
      <c r="A10" s="26" t="inlineStr">
        <is>
          <t>対象環境</t>
        </is>
      </c>
      <c r="B10" s="27" t="inlineStr"/>
      <c r="C10" s="27" t="n"/>
      <c r="D10" s="26" t="inlineStr">
        <is>
          <t>対象ホスト</t>
        </is>
      </c>
      <c r="E10" s="27" t="inlineStr"/>
      <c r="F10" s="27" t="n"/>
      <c r="G10" s="27" t="n"/>
    </row>
    <row r="11" ht="22" customHeight="1">
      <c r="A11" s="26" t="inlineStr">
        <is>
          <t>JMeter</t>
        </is>
      </c>
      <c r="B11" s="27" t="inlineStr"/>
      <c r="C11" s="27" t="n"/>
      <c r="D11" s="26" t="inlineStr">
        <is>
          <t>Java</t>
        </is>
      </c>
      <c r="E11" s="27" t="inlineStr"/>
      <c r="F11" s="27" t="n"/>
      <c r="G11" s="27" t="n"/>
    </row>
    <row r="12" ht="22" customHeight="1">
      <c r="A12" s="26" t="inlineStr">
        <is>
          <t>実行サーバ</t>
        </is>
      </c>
      <c r="B12" s="27" t="inlineStr"/>
      <c r="C12" s="27" t="n"/>
      <c r="D12" s="26" t="inlineStr">
        <is>
          <t>結果フォルダ</t>
        </is>
      </c>
      <c r="E12" s="27" t="inlineStr"/>
      <c r="F12" s="27" t="n"/>
      <c r="G12" s="27" t="n"/>
    </row>
    <row r="14" ht="24" customHeight="1">
      <c r="A14" s="5" t="inlineStr">
        <is>
          <t>2. 目的と合格基準</t>
        </is>
      </c>
      <c r="B14" s="5" t="n"/>
      <c r="C14" s="5" t="n"/>
      <c r="D14" s="5" t="n"/>
      <c r="E14" s="5" t="n"/>
      <c r="F14" s="5" t="n"/>
      <c r="G14" s="5" t="n"/>
    </row>
    <row r="15" ht="48" customHeight="1">
      <c r="A15" s="28" t="inlineStr">
        <is>
          <t>目的</t>
        </is>
      </c>
      <c r="B15" s="29" t="inlineStr">
        <is>
          <t>例: 注文検索 API が、合意した同時ユーザ数で、エラー率と 95% 応答時間の基準を満たすかを確認する。</t>
        </is>
      </c>
      <c r="C15" s="29" t="n"/>
      <c r="D15" s="29" t="n"/>
      <c r="E15" s="29" t="n"/>
      <c r="F15" s="29" t="n"/>
      <c r="G15" s="29" t="n"/>
    </row>
    <row r="16" ht="22" customHeight="1">
      <c r="A16" s="26" t="inlineStr">
        <is>
          <t>エラー率の上限</t>
        </is>
      </c>
      <c r="B16" s="30" t="n">
        <v>0.01</v>
      </c>
      <c r="C16" s="22" t="inlineStr">
        <is>
          <t>例として 1% を入れてある。失敗数÷サンプル数。このセルを変えると下の判定が変わる。</t>
        </is>
      </c>
      <c r="D16" s="22" t="n"/>
      <c r="E16" s="22" t="n"/>
      <c r="F16" s="22" t="n"/>
      <c r="G16" s="22" t="n"/>
    </row>
    <row r="17" ht="22" customHeight="1">
      <c r="A17" s="26" t="inlineStr">
        <is>
          <t>平均の上限（ミリ秒）</t>
        </is>
      </c>
      <c r="B17" s="31" t="n">
        <v>1000</v>
      </c>
      <c r="C17" s="22" t="inlineStr">
        <is>
          <t>elapsed の平均。失敗サンプルを含めた statistics.json の meanResTime を使う。</t>
        </is>
      </c>
      <c r="D17" s="22" t="n"/>
      <c r="E17" s="22" t="n"/>
      <c r="F17" s="22" t="n"/>
      <c r="G17" s="22" t="n"/>
    </row>
    <row r="18" ht="22" customHeight="1">
      <c r="A18" s="26" t="inlineStr">
        <is>
          <t>95%値の上限（ミリ秒）</t>
        </is>
      </c>
      <c r="B18" s="31" t="n">
        <v>3000</v>
      </c>
      <c r="C18" s="22" t="inlineStr">
        <is>
          <t>statistics.json の pct2ResTime（既定で 95）。pct1 は 90 なので取り違えない。</t>
        </is>
      </c>
      <c r="D18" s="22" t="n"/>
      <c r="E18" s="22" t="n"/>
      <c r="F18" s="22" t="n"/>
      <c r="G18" s="22" t="n"/>
    </row>
    <row r="20" ht="24" customHeight="1">
      <c r="A20" s="5" t="inlineStr">
        <is>
          <t>3. 試験条件（run-conditions.txt から転記）</t>
        </is>
      </c>
      <c r="B20" s="5" t="n"/>
      <c r="C20" s="5" t="n"/>
      <c r="D20" s="5" t="n"/>
      <c r="E20" s="5" t="n"/>
      <c r="F20" s="5" t="n"/>
      <c r="G20" s="5" t="n"/>
    </row>
    <row r="21" ht="22" customHeight="1">
      <c r="A21" s="26" t="inlineStr">
        <is>
          <t>同時ユーザ数（-Jthreads）</t>
        </is>
      </c>
      <c r="B21" s="27" t="inlineStr"/>
      <c r="C21" s="27" t="n"/>
      <c r="D21" s="27" t="n"/>
      <c r="E21" s="32" t="inlineStr">
        <is>
          <t>記入例: 50</t>
        </is>
      </c>
      <c r="F21" s="32" t="n"/>
      <c r="G21" s="32" t="n"/>
    </row>
    <row r="22" ht="22" customHeight="1">
      <c r="A22" s="26" t="inlineStr">
        <is>
          <t>Ramp-Up 秒</t>
        </is>
      </c>
      <c r="B22" s="27" t="inlineStr"/>
      <c r="C22" s="27" t="n"/>
      <c r="D22" s="27" t="n"/>
      <c r="E22" s="32" t="inlineStr">
        <is>
          <t>記入例: 60</t>
        </is>
      </c>
      <c r="F22" s="32" t="n"/>
      <c r="G22" s="32" t="n"/>
    </row>
    <row r="23" ht="22" customHeight="1">
      <c r="A23" s="26" t="inlineStr">
        <is>
          <t>持続秒</t>
        </is>
      </c>
      <c r="B23" s="27" t="inlineStr"/>
      <c r="C23" s="27" t="n"/>
      <c r="D23" s="27" t="n"/>
      <c r="E23" s="32" t="inlineStr">
        <is>
          <t>記入例: 600</t>
        </is>
      </c>
      <c r="F23" s="32" t="n"/>
      <c r="G23" s="32" t="n"/>
    </row>
    <row r="24" ht="22" customHeight="1">
      <c r="A24" s="26" t="inlineStr">
        <is>
          <t>思考時間</t>
        </is>
      </c>
      <c r="B24" s="27" t="inlineStr"/>
      <c r="C24" s="27" t="n"/>
      <c r="D24" s="27" t="n"/>
      <c r="E24" s="32" t="inlineStr">
        <is>
          <t>記入例: 検索前に 1〜3 秒</t>
        </is>
      </c>
      <c r="F24" s="32" t="n"/>
      <c r="G24" s="32" t="n"/>
    </row>
    <row r="25" ht="22" customHeight="1">
      <c r="A25" s="26" t="inlineStr">
        <is>
          <t>親サンプル</t>
        </is>
      </c>
      <c r="B25" s="27" t="inlineStr"/>
      <c r="C25" s="27" t="n"/>
      <c r="D25" s="27" t="n"/>
      <c r="E25" s="32" t="inlineStr">
        <is>
          <t>記入例: オフ</t>
        </is>
      </c>
      <c r="F25" s="32" t="n"/>
      <c r="G25" s="32" t="n"/>
    </row>
    <row r="26" ht="22" customHeight="1">
      <c r="A26" s="26" t="inlineStr">
        <is>
          <t>区間の注記</t>
        </is>
      </c>
      <c r="B26" s="27" t="inlineStr"/>
      <c r="C26" s="27" t="n"/>
      <c r="D26" s="27" t="n"/>
      <c r="E26" s="32" t="inlineStr">
        <is>
          <t>記入例: 起動 60 秒を含む</t>
        </is>
      </c>
      <c r="F26" s="32" t="n"/>
      <c r="G26" s="32" t="n"/>
    </row>
    <row r="28" ht="24" customHeight="1">
      <c r="A28" s="5" t="inlineStr">
        <is>
          <t>4. 取引ごとの結果（statistics.json から値で貼る）</t>
        </is>
      </c>
      <c r="B28" s="5" t="n"/>
      <c r="C28" s="5" t="n"/>
      <c r="D28" s="5" t="n"/>
      <c r="E28" s="5" t="n"/>
      <c r="F28" s="5" t="n"/>
      <c r="G28" s="5" t="n"/>
    </row>
    <row r="29" ht="28" customHeight="1">
      <c r="A29" s="33" t="inlineStr">
        <is>
          <t>A〜F が記入。G が判定。サンプル数が空の行は判定しない。エラー率は C÷B、平均は D、95% は E を、上の基準と比べる。</t>
        </is>
      </c>
      <c r="B29" s="33" t="n"/>
      <c r="C29" s="33" t="n"/>
      <c r="D29" s="33" t="n"/>
      <c r="E29" s="33" t="n"/>
      <c r="F29" s="33" t="n"/>
      <c r="G29" s="33" t="n"/>
    </row>
    <row r="30" ht="22" customHeight="1">
      <c r="A30" s="6" t="inlineStr">
        <is>
          <t>トランザクション</t>
        </is>
      </c>
      <c r="B30" s="6" t="inlineStr">
        <is>
          <t>サンプル数</t>
        </is>
      </c>
      <c r="C30" s="6" t="inlineStr">
        <is>
          <t>エラー数</t>
        </is>
      </c>
      <c r="D30" s="6" t="inlineStr">
        <is>
          <t>平均ms</t>
        </is>
      </c>
      <c r="E30" s="6" t="inlineStr">
        <is>
          <t>95%ms</t>
        </is>
      </c>
      <c r="F30" s="6" t="inlineStr">
        <is>
          <t>件/秒</t>
        </is>
      </c>
      <c r="G30" s="6" t="inlineStr">
        <is>
          <t>判定</t>
        </is>
      </c>
    </row>
    <row r="31" ht="20" customHeight="1">
      <c r="A31" s="34" t="inlineStr"/>
      <c r="B31" s="35" t="n"/>
      <c r="C31" s="35" t="n"/>
      <c r="D31" s="36" t="n"/>
      <c r="E31" s="36" t="n"/>
      <c r="F31" s="37" t="n"/>
      <c r="G31" s="38">
        <f>IF(OR(A31="",B31="",B31=0),"",IF(AND(C31/B31&lt;=$B$16,D31&lt;=$B$17,E31&lt;=$B$18),"合格","不合格"))</f>
        <v/>
      </c>
    </row>
    <row r="32" ht="20" customHeight="1">
      <c r="A32" s="34" t="inlineStr"/>
      <c r="B32" s="35" t="n"/>
      <c r="C32" s="35" t="n"/>
      <c r="D32" s="36" t="n"/>
      <c r="E32" s="36" t="n"/>
      <c r="F32" s="37" t="n"/>
      <c r="G32" s="38">
        <f>IF(OR(A32="",B32="",B32=0),"",IF(AND(C32/B32&lt;=$B$16,D32&lt;=$B$17,E32&lt;=$B$18),"合格","不合格"))</f>
        <v/>
      </c>
    </row>
    <row r="33" ht="20" customHeight="1">
      <c r="A33" s="34" t="inlineStr"/>
      <c r="B33" s="35" t="n"/>
      <c r="C33" s="35" t="n"/>
      <c r="D33" s="36" t="n"/>
      <c r="E33" s="36" t="n"/>
      <c r="F33" s="37" t="n"/>
      <c r="G33" s="38">
        <f>IF(OR(A33="",B33="",B33=0),"",IF(AND(C33/B33&lt;=$B$16,D33&lt;=$B$17,E33&lt;=$B$18),"合格","不合格"))</f>
        <v/>
      </c>
    </row>
    <row r="34" ht="20" customHeight="1">
      <c r="A34" s="34" t="inlineStr"/>
      <c r="B34" s="35" t="n"/>
      <c r="C34" s="35" t="n"/>
      <c r="D34" s="36" t="n"/>
      <c r="E34" s="36" t="n"/>
      <c r="F34" s="37" t="n"/>
      <c r="G34" s="38">
        <f>IF(OR(A34="",B34="",B34=0),"",IF(AND(C34/B34&lt;=$B$16,D34&lt;=$B$17,E34&lt;=$B$18),"合格","不合格"))</f>
        <v/>
      </c>
    </row>
    <row r="35" ht="20" customHeight="1">
      <c r="A35" s="34" t="inlineStr"/>
      <c r="B35" s="35" t="n"/>
      <c r="C35" s="35" t="n"/>
      <c r="D35" s="36" t="n"/>
      <c r="E35" s="36" t="n"/>
      <c r="F35" s="37" t="n"/>
      <c r="G35" s="38">
        <f>IF(OR(A35="",B35="",B35=0),"",IF(AND(C35/B35&lt;=$B$16,D35&lt;=$B$17,E35&lt;=$B$18),"合格","不合格"))</f>
        <v/>
      </c>
    </row>
    <row r="36" ht="20" customHeight="1">
      <c r="A36" s="34" t="inlineStr"/>
      <c r="B36" s="35" t="n"/>
      <c r="C36" s="35" t="n"/>
      <c r="D36" s="36" t="n"/>
      <c r="E36" s="36" t="n"/>
      <c r="F36" s="37" t="n"/>
      <c r="G36" s="38">
        <f>IF(OR(A36="",B36="",B36=0),"",IF(AND(C36/B36&lt;=$B$16,D36&lt;=$B$17,E36&lt;=$B$18),"合格","不合格"))</f>
        <v/>
      </c>
    </row>
    <row r="37" ht="20" customHeight="1">
      <c r="A37" s="34" t="inlineStr"/>
      <c r="B37" s="35" t="n"/>
      <c r="C37" s="35" t="n"/>
      <c r="D37" s="36" t="n"/>
      <c r="E37" s="36" t="n"/>
      <c r="F37" s="37" t="n"/>
      <c r="G37" s="38">
        <f>IF(OR(A37="",B37="",B37=0),"",IF(AND(C37/B37&lt;=$B$16,D37&lt;=$B$17,E37&lt;=$B$18),"合格","不合格"))</f>
        <v/>
      </c>
    </row>
    <row r="38" ht="20" customHeight="1">
      <c r="A38" s="34" t="inlineStr"/>
      <c r="B38" s="35" t="n"/>
      <c r="C38" s="35" t="n"/>
      <c r="D38" s="36" t="n"/>
      <c r="E38" s="36" t="n"/>
      <c r="F38" s="37" t="n"/>
      <c r="G38" s="38">
        <f>IF(OR(A38="",B38="",B38=0),"",IF(AND(C38/B38&lt;=$B$16,D38&lt;=$B$17,E38&lt;=$B$18),"合格","不合格"))</f>
        <v/>
      </c>
    </row>
    <row r="39" ht="24" customHeight="1">
      <c r="A39" s="39" t="inlineStr">
        <is>
          <t>総合</t>
        </is>
      </c>
      <c r="B39" s="40" t="inlineStr"/>
      <c r="C39" s="40" t="inlineStr"/>
      <c r="D39" s="40" t="inlineStr"/>
      <c r="E39" s="40" t="inlineStr"/>
      <c r="F39" s="40" t="inlineStr"/>
      <c r="G39" s="41">
        <f>IF(COUNTIF(G31:G38,"不合格")&gt;0,"不合格",IF(COUNTIF(G31:G38,"合格")=0,"","合格"))</f>
        <v/>
      </c>
    </row>
    <row r="41" ht="24" customHeight="1">
      <c r="A41" s="5" t="inlineStr">
        <is>
          <t>5. エラー内訳と所見</t>
        </is>
      </c>
      <c r="B41" s="5" t="n"/>
      <c r="C41" s="5" t="n"/>
      <c r="D41" s="5" t="n"/>
      <c r="E41" s="5" t="n"/>
      <c r="F41" s="5" t="n"/>
      <c r="G41" s="5" t="n"/>
    </row>
    <row r="42" ht="48" customHeight="1">
      <c r="A42" s="28" t="inlineStr">
        <is>
          <t>エラー内訳</t>
        </is>
      </c>
      <c r="B42" s="42" t="inlineStr">
        <is>
          <t>接続失敗、HTTP 4xx、HTTP 5xx、アサーション失敗、の件数。0 なら 0 と書く。</t>
        </is>
      </c>
      <c r="C42" s="42" t="n"/>
      <c r="D42" s="42" t="n"/>
      <c r="E42" s="42" t="n"/>
      <c r="F42" s="42" t="n"/>
      <c r="G42" s="42" t="n"/>
    </row>
    <row r="43" ht="48" customHeight="1">
      <c r="A43" s="28" t="inlineStr">
        <is>
          <t>応答時間の所見</t>
        </is>
      </c>
      <c r="B43" s="42" t="inlineStr">
        <is>
          <t>平均と 95% の差、時間とともに悪化したか。グラフの番号を書く。</t>
        </is>
      </c>
      <c r="C43" s="42" t="n"/>
      <c r="D43" s="42" t="n"/>
      <c r="E43" s="42" t="n"/>
      <c r="F43" s="42" t="n"/>
      <c r="G43" s="42" t="n"/>
    </row>
    <row r="44" ht="48" customHeight="1">
      <c r="A44" s="28" t="inlineStr">
        <is>
          <t>中断の有無</t>
        </is>
      </c>
      <c r="B44" s="42" t="inlineStr">
        <is>
          <t>最後まで流した / shutdown / stoptest。時刻と、そのときの Err。</t>
        </is>
      </c>
      <c r="C44" s="42" t="n"/>
      <c r="D44" s="42" t="n"/>
      <c r="E44" s="42" t="n"/>
      <c r="F44" s="42" t="n"/>
      <c r="G44" s="42" t="n"/>
    </row>
    <row r="45" ht="48" customHeight="1">
      <c r="A45" s="28" t="inlineStr">
        <is>
          <t>総合の文章</t>
        </is>
      </c>
      <c r="B45" s="42" t="inlineStr">
        <is>
          <t>総合セルが合格か不合格かと、どの取引が理由かを 3 行以内で書く。</t>
        </is>
      </c>
      <c r="C45" s="42" t="n"/>
      <c r="D45" s="42" t="n"/>
      <c r="E45" s="42" t="n"/>
      <c r="F45" s="42" t="n"/>
      <c r="G45" s="42" t="n"/>
    </row>
    <row r="47" ht="24" customHeight="1">
      <c r="A47" s="5" t="inlineStr">
        <is>
          <t>6. 見込み（測った範囲の内側だけ）</t>
        </is>
      </c>
      <c r="B47" s="5" t="n"/>
      <c r="C47" s="5" t="n"/>
      <c r="D47" s="5" t="n"/>
      <c r="E47" s="5" t="n"/>
      <c r="F47" s="5" t="n"/>
      <c r="G47" s="5" t="n"/>
    </row>
    <row r="48" ht="36" customHeight="1">
      <c r="A48" s="28" t="inlineStr">
        <is>
          <t>今回の人数で、95% 値は基準の何割か</t>
        </is>
      </c>
      <c r="B48" s="42" t="inlineStr">
        <is>
          <t>例: 基準 3000ms に対して検索は 900ms で、約 0.3 倍を使用。</t>
        </is>
      </c>
      <c r="C48" s="43" t="n"/>
      <c r="D48" s="43" t="n"/>
      <c r="E48" s="43" t="n"/>
      <c r="F48" s="43" t="n"/>
      <c r="G48" s="43" t="n"/>
    </row>
    <row r="49" ht="36" customHeight="1">
      <c r="A49" s="28" t="inlineStr">
        <is>
          <t>頭打ち、またはエラーが出始めた人数</t>
        </is>
      </c>
      <c r="B49" s="42" t="inlineStr">
        <is>
          <t>見えなければ「この試験の範囲では見えない」と書く。</t>
        </is>
      </c>
      <c r="C49" s="43" t="n"/>
      <c r="D49" s="43" t="n"/>
      <c r="E49" s="43" t="n"/>
      <c r="F49" s="43" t="n"/>
      <c r="G49" s="43" t="n"/>
    </row>
    <row r="50" ht="36" customHeight="1">
      <c r="A50" s="28" t="inlineStr">
        <is>
          <t>次に測る人数</t>
        </is>
      </c>
      <c r="B50" s="42" t="inlineStr">
        <is>
          <t>今回の 1.5 倍など。断言ではなく次の試験の提案。</t>
        </is>
      </c>
      <c r="C50" s="43" t="n"/>
      <c r="D50" s="43" t="n"/>
      <c r="E50" s="43" t="n"/>
      <c r="F50" s="43" t="n"/>
      <c r="G50" s="43" t="n"/>
    </row>
    <row r="51" ht="36" customHeight="1">
      <c r="A51" s="28" t="inlineStr">
        <is>
          <t>書いていない範囲</t>
        </is>
      </c>
      <c r="B51" s="42" t="inlineStr">
        <is>
          <t>例: 75 人より上は未測定。直線で 200 人を推定していない。</t>
        </is>
      </c>
      <c r="C51" s="43" t="n"/>
      <c r="D51" s="43" t="n"/>
      <c r="E51" s="43" t="n"/>
      <c r="F51" s="43" t="n"/>
      <c r="G51" s="43" t="n"/>
    </row>
    <row r="53" ht="24" customHeight="1">
      <c r="A53" s="5" t="inlineStr">
        <is>
          <t>7. 図（ダッシュボードから貼る）</t>
        </is>
      </c>
      <c r="B53" s="5" t="n"/>
      <c r="C53" s="5" t="n"/>
      <c r="D53" s="5" t="n"/>
      <c r="E53" s="5" t="n"/>
      <c r="F53" s="5" t="n"/>
      <c r="G53" s="5" t="n"/>
    </row>
    <row r="54" ht="22" customHeight="1">
      <c r="A54" s="14" t="inlineStr">
        <is>
          <t>IMG-36    画像差し込み枠    提出用: Statistics の表、またはそのスクリーンショット</t>
        </is>
      </c>
      <c r="B54" s="14" t="n"/>
      <c r="C54" s="14" t="n"/>
      <c r="D54" s="14" t="n"/>
      <c r="E54" s="14" t="n"/>
      <c r="F54" s="14" t="n"/>
      <c r="G54" s="14" t="n"/>
    </row>
    <row r="55" ht="148" customHeight="1">
      <c r="A5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数値を転記した同じ実行の HTML レポート。
画角: 試験名と日時が報告の結果フォルダと一致すると分かる範囲。
文章は図の下に隠れてもよい。どの図かは 32_画像台帳 の IMG-36 を見る。</t>
        </is>
      </c>
      <c r="B55" s="15" t="n"/>
      <c r="C55" s="15" t="n"/>
      <c r="D55" s="15" t="n"/>
      <c r="E55" s="15" t="n"/>
      <c r="F55" s="15" t="n"/>
      <c r="G55" s="15" t="n"/>
    </row>
    <row r="56" ht="22" customHeight="1">
      <c r="A56" s="14" t="inlineStr">
        <is>
          <t>IMG-37    画像差し込み枠    提出用: 応答時間の時間推移</t>
        </is>
      </c>
      <c r="B56" s="14" t="n"/>
      <c r="C56" s="14" t="n"/>
      <c r="D56" s="14" t="n"/>
      <c r="E56" s="14" t="n"/>
      <c r="F56" s="14" t="n"/>
      <c r="G56" s="14" t="n"/>
    </row>
    <row r="57" ht="148" customHeight="1">
      <c r="A57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問題の有無が目で分かる取引を表示したグラフ。
画角: 縦軸ミリ秒、横軸時刻、凡例。
文章は図の下に隠れてもよい。どの図かは 32_画像台帳 の IMG-37 を見る。</t>
        </is>
      </c>
      <c r="B57" s="15" t="n"/>
      <c r="C57" s="15" t="n"/>
      <c r="D57" s="15" t="n"/>
      <c r="E57" s="15" t="n"/>
      <c r="F57" s="15" t="n"/>
      <c r="G57" s="15" t="n"/>
    </row>
    <row r="58" ht="22" customHeight="1">
      <c r="A58" s="14" t="inlineStr">
        <is>
          <t>IMG-38    画像差し込み枠    提出用: エラーまたは件/秒のグラフ（無ければ枠に「該当なし」と書く）</t>
        </is>
      </c>
      <c r="B58" s="14" t="n"/>
      <c r="C58" s="14" t="n"/>
      <c r="D58" s="14" t="n"/>
      <c r="E58" s="14" t="n"/>
      <c r="F58" s="14" t="n"/>
      <c r="G58" s="14" t="n"/>
    </row>
    <row r="59" ht="148" customHeight="1">
      <c r="A59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エラーが 0 で件/秒も安定なら、その旨を枠の文字として残し、図は省略してよい。
画角: 省略するときは図を置かず、理由をこの枠の文に残す。
文章は図の下に隠れてもよい。どの図かは 32_画像台帳 の IMG-38 を見る。</t>
        </is>
      </c>
      <c r="B59" s="15" t="n"/>
      <c r="C59" s="15" t="n"/>
      <c r="D59" s="15" t="n"/>
      <c r="E59" s="15" t="n"/>
      <c r="F59" s="15" t="n"/>
      <c r="G59" s="15" t="n"/>
    </row>
    <row r="60" ht="24" customHeight="1">
      <c r="A60" s="5" t="inlineStr">
        <is>
          <t>8. 承認</t>
        </is>
      </c>
      <c r="B60" s="5" t="n"/>
      <c r="C60" s="5" t="n"/>
      <c r="D60" s="5" t="n"/>
      <c r="E60" s="5" t="n"/>
      <c r="F60" s="5" t="n"/>
      <c r="G60" s="5" t="n"/>
    </row>
    <row r="61" ht="22" customHeight="1">
      <c r="A61" s="26" t="inlineStr">
        <is>
          <t>作成日</t>
        </is>
      </c>
      <c r="B61" s="27" t="inlineStr"/>
      <c r="C61" s="27" t="n"/>
      <c r="D61" s="27" t="n"/>
      <c r="E61" s="22" t="inlineStr"/>
      <c r="F61" s="22" t="n"/>
      <c r="G61" s="22" t="n"/>
    </row>
    <row r="62" ht="22" customHeight="1">
      <c r="A62" s="26" t="inlineStr">
        <is>
          <t>作成者</t>
        </is>
      </c>
      <c r="B62" s="27" t="inlineStr"/>
      <c r="C62" s="27" t="n"/>
      <c r="D62" s="27" t="n"/>
      <c r="E62" s="22" t="inlineStr"/>
      <c r="F62" s="22" t="n"/>
      <c r="G62" s="22" t="n"/>
    </row>
    <row r="63" ht="22" customHeight="1">
      <c r="A63" s="26" t="inlineStr">
        <is>
          <t>確認日</t>
        </is>
      </c>
      <c r="B63" s="27" t="inlineStr"/>
      <c r="C63" s="27" t="n"/>
      <c r="D63" s="27" t="n"/>
      <c r="E63" s="22" t="inlineStr"/>
      <c r="F63" s="22" t="n"/>
      <c r="G63" s="22" t="n"/>
    </row>
    <row r="64" ht="22" customHeight="1">
      <c r="A64" s="26" t="inlineStr">
        <is>
          <t>確認者</t>
        </is>
      </c>
      <c r="B64" s="27" t="inlineStr"/>
      <c r="C64" s="27" t="n"/>
      <c r="D64" s="27" t="n"/>
      <c r="E64" s="22" t="inlineStr"/>
      <c r="F64" s="22" t="n"/>
      <c r="G64" s="22" t="n"/>
    </row>
  </sheetData>
  <mergeCells count="63">
    <mergeCell ref="E63:G63"/>
    <mergeCell ref="E10:G10"/>
    <mergeCell ref="A14:G14"/>
    <mergeCell ref="B42:G42"/>
    <mergeCell ref="B23:D23"/>
    <mergeCell ref="B61:D61"/>
    <mergeCell ref="A53:G53"/>
    <mergeCell ref="A4:G4"/>
    <mergeCell ref="A20:G20"/>
    <mergeCell ref="E9:G9"/>
    <mergeCell ref="A29:G29"/>
    <mergeCell ref="B44:G44"/>
    <mergeCell ref="A28:G28"/>
    <mergeCell ref="B12:C12"/>
    <mergeCell ref="A58:G58"/>
    <mergeCell ref="E11:G11"/>
    <mergeCell ref="B11:C11"/>
    <mergeCell ref="C16:G16"/>
    <mergeCell ref="E61:G61"/>
    <mergeCell ref="B49:G49"/>
    <mergeCell ref="E26:G26"/>
    <mergeCell ref="A59:G59"/>
    <mergeCell ref="A60:G60"/>
    <mergeCell ref="B8:C8"/>
    <mergeCell ref="B15:G15"/>
    <mergeCell ref="B24:D24"/>
    <mergeCell ref="E25:G25"/>
    <mergeCell ref="B64:D64"/>
    <mergeCell ref="B51:G51"/>
    <mergeCell ref="A1:G1"/>
    <mergeCell ref="E22:G22"/>
    <mergeCell ref="B63:D63"/>
    <mergeCell ref="A6:G6"/>
    <mergeCell ref="B45:G45"/>
    <mergeCell ref="B10:C10"/>
    <mergeCell ref="B26:D26"/>
    <mergeCell ref="B50:G50"/>
    <mergeCell ref="E12:G12"/>
    <mergeCell ref="A54:G54"/>
    <mergeCell ref="A7:G7"/>
    <mergeCell ref="E21:G21"/>
    <mergeCell ref="B9:C9"/>
    <mergeCell ref="A41:G41"/>
    <mergeCell ref="B25:D25"/>
    <mergeCell ref="B62:D62"/>
    <mergeCell ref="C17:G17"/>
    <mergeCell ref="E24:G24"/>
    <mergeCell ref="E62:G62"/>
    <mergeCell ref="A56:G56"/>
    <mergeCell ref="A3:G3"/>
    <mergeCell ref="B22:D22"/>
    <mergeCell ref="E23:G23"/>
    <mergeCell ref="A55:G55"/>
    <mergeCell ref="E8:G8"/>
    <mergeCell ref="A2:G2"/>
    <mergeCell ref="B43:G43"/>
    <mergeCell ref="B21:D21"/>
    <mergeCell ref="E64:G64"/>
    <mergeCell ref="A57:G57"/>
    <mergeCell ref="B48:G48"/>
    <mergeCell ref="C18:G18"/>
    <mergeCell ref="A47:G47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L42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22" customWidth="1" min="1" max="1"/>
    <col width="12" customWidth="1" min="2" max="2"/>
    <col width="20" customWidth="1" min="3" max="3"/>
    <col width="14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16" t="inlineStr">
        <is>
          <t>手計算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30" customHeight="1">
      <c r="A3" s="17" t="inlineStr">
        <is>
          <t>小さい結果で、平均・95%・件/秒の意味を確認する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</row>
    <row r="4" ht="32" customHeight="1">
      <c r="A4" s="18" t="inlineStr">
        <is>
          <t>この表は説明用の 23 行。提出用の数値は statistics.json。数式は Excel 2021 または Microsoft 365 の FILTER を使う。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 ht="32" customHeight="1">
      <c r="A6" s="25" t="inlineStr">
        <is>
          <t>下の生データは架空。02_検索の 500 ミリ秒の行だけ success が false。平均は失敗を含む。右端の「成功のみ平均」は失敗を除いた値で、提出の meanResTime とは違う。違いを見るための列。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</row>
    <row r="7" ht="24" customHeight="1">
      <c r="A7" s="5" t="inlineStr">
        <is>
          <t>架空の jtl（23 行）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20" customHeight="1">
      <c r="A8" s="44" t="inlineStr">
        <is>
          <t>timeStamp</t>
        </is>
      </c>
      <c r="B8" s="44" t="inlineStr">
        <is>
          <t>elapsed</t>
        </is>
      </c>
      <c r="C8" s="44" t="inlineStr">
        <is>
          <t>label</t>
        </is>
      </c>
      <c r="D8" s="44" t="inlineStr">
        <is>
          <t>responseCode</t>
        </is>
      </c>
      <c r="E8" s="44" t="inlineStr">
        <is>
          <t>responseMessage</t>
        </is>
      </c>
      <c r="F8" s="44" t="inlineStr">
        <is>
          <t>threadName</t>
        </is>
      </c>
      <c r="G8" s="44" t="inlineStr">
        <is>
          <t>success</t>
        </is>
      </c>
      <c r="H8" s="44" t="inlineStr">
        <is>
          <t>bytes</t>
        </is>
      </c>
      <c r="I8" s="44" t="inlineStr">
        <is>
          <t>sentBytes</t>
        </is>
      </c>
      <c r="J8" s="44" t="inlineStr">
        <is>
          <t>Latency</t>
        </is>
      </c>
      <c r="K8" s="44" t="inlineStr">
        <is>
          <t>Connect</t>
        </is>
      </c>
      <c r="L8" s="45" t="inlineStr"/>
    </row>
    <row r="9" ht="18" customHeight="1">
      <c r="A9" s="46" t="n">
        <v>46299.625</v>
      </c>
      <c r="B9" s="47" t="n">
        <v>120</v>
      </c>
      <c r="C9" s="48" t="inlineStr">
        <is>
          <t>01_ログイン</t>
        </is>
      </c>
      <c r="D9" s="49" t="inlineStr">
        <is>
          <t>200</t>
        </is>
      </c>
      <c r="E9" s="48" t="inlineStr">
        <is>
          <t>OK</t>
        </is>
      </c>
      <c r="F9" s="48" t="inlineStr">
        <is>
          <t>TG 1-1</t>
        </is>
      </c>
      <c r="G9" s="49" t="b">
        <v>1</v>
      </c>
      <c r="H9" s="50" t="n">
        <v>800</v>
      </c>
      <c r="I9" s="50" t="n">
        <v>200</v>
      </c>
      <c r="J9" s="50" t="n">
        <v>90</v>
      </c>
      <c r="K9" s="50" t="n">
        <v>10</v>
      </c>
      <c r="L9" s="48" t="inlineStr"/>
    </row>
    <row r="10" ht="18" customHeight="1">
      <c r="A10" s="51" t="n">
        <v>46299.62503472222</v>
      </c>
      <c r="B10" s="52" t="n">
        <v>140</v>
      </c>
      <c r="C10" s="53" t="inlineStr">
        <is>
          <t>01_ログイン</t>
        </is>
      </c>
      <c r="D10" s="54" t="inlineStr">
        <is>
          <t>200</t>
        </is>
      </c>
      <c r="E10" s="53" t="inlineStr">
        <is>
          <t>OK</t>
        </is>
      </c>
      <c r="F10" s="53" t="inlineStr">
        <is>
          <t>TG 1-2</t>
        </is>
      </c>
      <c r="G10" s="54" t="b">
        <v>1</v>
      </c>
      <c r="H10" s="55" t="n">
        <v>800</v>
      </c>
      <c r="I10" s="55" t="n">
        <v>200</v>
      </c>
      <c r="J10" s="55" t="n">
        <v>110</v>
      </c>
      <c r="K10" s="55" t="n">
        <v>10</v>
      </c>
      <c r="L10" s="53" t="inlineStr"/>
    </row>
    <row r="11" ht="18" customHeight="1">
      <c r="A11" s="46" t="n">
        <v>46299.62506944445</v>
      </c>
      <c r="B11" s="47" t="n">
        <v>150</v>
      </c>
      <c r="C11" s="48" t="inlineStr">
        <is>
          <t>01_ログイン</t>
        </is>
      </c>
      <c r="D11" s="49" t="inlineStr">
        <is>
          <t>200</t>
        </is>
      </c>
      <c r="E11" s="48" t="inlineStr">
        <is>
          <t>OK</t>
        </is>
      </c>
      <c r="F11" s="48" t="inlineStr">
        <is>
          <t>TG 1-3</t>
        </is>
      </c>
      <c r="G11" s="49" t="b">
        <v>1</v>
      </c>
      <c r="H11" s="50" t="n">
        <v>800</v>
      </c>
      <c r="I11" s="50" t="n">
        <v>200</v>
      </c>
      <c r="J11" s="50" t="n">
        <v>120</v>
      </c>
      <c r="K11" s="50" t="n">
        <v>10</v>
      </c>
      <c r="L11" s="48" t="inlineStr"/>
    </row>
    <row r="12" ht="18" customHeight="1">
      <c r="A12" s="51" t="n">
        <v>46299.62510416667</v>
      </c>
      <c r="B12" s="52" t="n">
        <v>160</v>
      </c>
      <c r="C12" s="53" t="inlineStr">
        <is>
          <t>01_ログイン</t>
        </is>
      </c>
      <c r="D12" s="54" t="inlineStr">
        <is>
          <t>200</t>
        </is>
      </c>
      <c r="E12" s="53" t="inlineStr">
        <is>
          <t>OK</t>
        </is>
      </c>
      <c r="F12" s="53" t="inlineStr">
        <is>
          <t>TG 1-4</t>
        </is>
      </c>
      <c r="G12" s="54" t="b">
        <v>1</v>
      </c>
      <c r="H12" s="55" t="n">
        <v>800</v>
      </c>
      <c r="I12" s="55" t="n">
        <v>200</v>
      </c>
      <c r="J12" s="55" t="n">
        <v>130</v>
      </c>
      <c r="K12" s="55" t="n">
        <v>10</v>
      </c>
      <c r="L12" s="53" t="inlineStr"/>
    </row>
    <row r="13" ht="18" customHeight="1">
      <c r="A13" s="46" t="n">
        <v>46299.62513888889</v>
      </c>
      <c r="B13" s="47" t="n">
        <v>180</v>
      </c>
      <c r="C13" s="48" t="inlineStr">
        <is>
          <t>01_ログイン</t>
        </is>
      </c>
      <c r="D13" s="49" t="inlineStr">
        <is>
          <t>200</t>
        </is>
      </c>
      <c r="E13" s="48" t="inlineStr">
        <is>
          <t>OK</t>
        </is>
      </c>
      <c r="F13" s="48" t="inlineStr">
        <is>
          <t>TG 1-5</t>
        </is>
      </c>
      <c r="G13" s="49" t="b">
        <v>1</v>
      </c>
      <c r="H13" s="50" t="n">
        <v>800</v>
      </c>
      <c r="I13" s="50" t="n">
        <v>200</v>
      </c>
      <c r="J13" s="50" t="n">
        <v>150</v>
      </c>
      <c r="K13" s="50" t="n">
        <v>10</v>
      </c>
      <c r="L13" s="48" t="inlineStr"/>
    </row>
    <row r="14" ht="18" customHeight="1">
      <c r="A14" s="51" t="n">
        <v>46299.62517361111</v>
      </c>
      <c r="B14" s="52" t="n">
        <v>190</v>
      </c>
      <c r="C14" s="53" t="inlineStr">
        <is>
          <t>01_ログイン</t>
        </is>
      </c>
      <c r="D14" s="54" t="inlineStr">
        <is>
          <t>200</t>
        </is>
      </c>
      <c r="E14" s="53" t="inlineStr">
        <is>
          <t>OK</t>
        </is>
      </c>
      <c r="F14" s="53" t="inlineStr">
        <is>
          <t>TG 1-6</t>
        </is>
      </c>
      <c r="G14" s="54" t="b">
        <v>1</v>
      </c>
      <c r="H14" s="55" t="n">
        <v>800</v>
      </c>
      <c r="I14" s="55" t="n">
        <v>200</v>
      </c>
      <c r="J14" s="55" t="n">
        <v>160</v>
      </c>
      <c r="K14" s="55" t="n">
        <v>10</v>
      </c>
      <c r="L14" s="53" t="inlineStr"/>
    </row>
    <row r="15" ht="18" customHeight="1">
      <c r="A15" s="46" t="n">
        <v>46299.62520833333</v>
      </c>
      <c r="B15" s="47" t="n">
        <v>210</v>
      </c>
      <c r="C15" s="48" t="inlineStr">
        <is>
          <t>01_ログイン</t>
        </is>
      </c>
      <c r="D15" s="49" t="inlineStr">
        <is>
          <t>200</t>
        </is>
      </c>
      <c r="E15" s="48" t="inlineStr">
        <is>
          <t>OK</t>
        </is>
      </c>
      <c r="F15" s="48" t="inlineStr">
        <is>
          <t>TG 1-7</t>
        </is>
      </c>
      <c r="G15" s="49" t="b">
        <v>1</v>
      </c>
      <c r="H15" s="50" t="n">
        <v>800</v>
      </c>
      <c r="I15" s="50" t="n">
        <v>200</v>
      </c>
      <c r="J15" s="50" t="n">
        <v>180</v>
      </c>
      <c r="K15" s="50" t="n">
        <v>10</v>
      </c>
      <c r="L15" s="48" t="inlineStr"/>
    </row>
    <row r="16" ht="18" customHeight="1">
      <c r="A16" s="51" t="n">
        <v>46299.62524305555</v>
      </c>
      <c r="B16" s="52" t="n">
        <v>400</v>
      </c>
      <c r="C16" s="53" t="inlineStr">
        <is>
          <t>01_ログイン</t>
        </is>
      </c>
      <c r="D16" s="54" t="inlineStr">
        <is>
          <t>200</t>
        </is>
      </c>
      <c r="E16" s="53" t="inlineStr">
        <is>
          <t>OK</t>
        </is>
      </c>
      <c r="F16" s="53" t="inlineStr">
        <is>
          <t>TG 1-8</t>
        </is>
      </c>
      <c r="G16" s="54" t="b">
        <v>1</v>
      </c>
      <c r="H16" s="55" t="n">
        <v>800</v>
      </c>
      <c r="I16" s="55" t="n">
        <v>200</v>
      </c>
      <c r="J16" s="55" t="n">
        <v>370</v>
      </c>
      <c r="K16" s="55" t="n">
        <v>10</v>
      </c>
      <c r="L16" s="53" t="inlineStr"/>
    </row>
    <row r="17" ht="18" customHeight="1">
      <c r="A17" s="46" t="n">
        <v>46299.62534722222</v>
      </c>
      <c r="B17" s="47" t="n">
        <v>200</v>
      </c>
      <c r="C17" s="48" t="inlineStr">
        <is>
          <t>02_検索</t>
        </is>
      </c>
      <c r="D17" s="49" t="inlineStr">
        <is>
          <t>200</t>
        </is>
      </c>
      <c r="E17" s="48" t="inlineStr">
        <is>
          <t>OK</t>
        </is>
      </c>
      <c r="F17" s="48" t="inlineStr">
        <is>
          <t>TG 1-9</t>
        </is>
      </c>
      <c r="G17" s="49" t="b">
        <v>1</v>
      </c>
      <c r="H17" s="50" t="n">
        <v>800</v>
      </c>
      <c r="I17" s="50" t="n">
        <v>200</v>
      </c>
      <c r="J17" s="50" t="n">
        <v>170</v>
      </c>
      <c r="K17" s="50" t="n">
        <v>10</v>
      </c>
      <c r="L17" s="48" t="inlineStr"/>
    </row>
    <row r="18" ht="18" customHeight="1">
      <c r="A18" s="51" t="n">
        <v>46299.62539351852</v>
      </c>
      <c r="B18" s="52" t="n">
        <v>220</v>
      </c>
      <c r="C18" s="53" t="inlineStr">
        <is>
          <t>02_検索</t>
        </is>
      </c>
      <c r="D18" s="54" t="inlineStr">
        <is>
          <t>200</t>
        </is>
      </c>
      <c r="E18" s="53" t="inlineStr">
        <is>
          <t>OK</t>
        </is>
      </c>
      <c r="F18" s="53" t="inlineStr">
        <is>
          <t>TG 1-10</t>
        </is>
      </c>
      <c r="G18" s="54" t="b">
        <v>1</v>
      </c>
      <c r="H18" s="55" t="n">
        <v>800</v>
      </c>
      <c r="I18" s="55" t="n">
        <v>200</v>
      </c>
      <c r="J18" s="55" t="n">
        <v>190</v>
      </c>
      <c r="K18" s="55" t="n">
        <v>10</v>
      </c>
      <c r="L18" s="53" t="inlineStr"/>
    </row>
    <row r="19" ht="18" customHeight="1">
      <c r="A19" s="46" t="n">
        <v>46299.62543981482</v>
      </c>
      <c r="B19" s="47" t="n">
        <v>240</v>
      </c>
      <c r="C19" s="48" t="inlineStr">
        <is>
          <t>02_検索</t>
        </is>
      </c>
      <c r="D19" s="49" t="inlineStr">
        <is>
          <t>200</t>
        </is>
      </c>
      <c r="E19" s="48" t="inlineStr">
        <is>
          <t>OK</t>
        </is>
      </c>
      <c r="F19" s="48" t="inlineStr">
        <is>
          <t>TG 1-11</t>
        </is>
      </c>
      <c r="G19" s="49" t="b">
        <v>1</v>
      </c>
      <c r="H19" s="50" t="n">
        <v>800</v>
      </c>
      <c r="I19" s="50" t="n">
        <v>200</v>
      </c>
      <c r="J19" s="50" t="n">
        <v>210</v>
      </c>
      <c r="K19" s="50" t="n">
        <v>10</v>
      </c>
      <c r="L19" s="48" t="inlineStr"/>
    </row>
    <row r="20" ht="18" customHeight="1">
      <c r="A20" s="51" t="n">
        <v>46299.62548611111</v>
      </c>
      <c r="B20" s="52" t="n">
        <v>260</v>
      </c>
      <c r="C20" s="53" t="inlineStr">
        <is>
          <t>02_検索</t>
        </is>
      </c>
      <c r="D20" s="54" t="inlineStr">
        <is>
          <t>200</t>
        </is>
      </c>
      <c r="E20" s="53" t="inlineStr">
        <is>
          <t>OK</t>
        </is>
      </c>
      <c r="F20" s="53" t="inlineStr">
        <is>
          <t>TG 1-12</t>
        </is>
      </c>
      <c r="G20" s="54" t="b">
        <v>1</v>
      </c>
      <c r="H20" s="55" t="n">
        <v>800</v>
      </c>
      <c r="I20" s="55" t="n">
        <v>200</v>
      </c>
      <c r="J20" s="55" t="n">
        <v>230</v>
      </c>
      <c r="K20" s="55" t="n">
        <v>10</v>
      </c>
      <c r="L20" s="53" t="inlineStr"/>
    </row>
    <row r="21" ht="18" customHeight="1">
      <c r="A21" s="46" t="n">
        <v>46299.62553240741</v>
      </c>
      <c r="B21" s="47" t="n">
        <v>300</v>
      </c>
      <c r="C21" s="48" t="inlineStr">
        <is>
          <t>02_検索</t>
        </is>
      </c>
      <c r="D21" s="49" t="inlineStr">
        <is>
          <t>200</t>
        </is>
      </c>
      <c r="E21" s="48" t="inlineStr">
        <is>
          <t>OK</t>
        </is>
      </c>
      <c r="F21" s="48" t="inlineStr">
        <is>
          <t>TG 1-13</t>
        </is>
      </c>
      <c r="G21" s="49" t="b">
        <v>1</v>
      </c>
      <c r="H21" s="50" t="n">
        <v>800</v>
      </c>
      <c r="I21" s="50" t="n">
        <v>200</v>
      </c>
      <c r="J21" s="50" t="n">
        <v>270</v>
      </c>
      <c r="K21" s="50" t="n">
        <v>10</v>
      </c>
      <c r="L21" s="48" t="inlineStr"/>
    </row>
    <row r="22" ht="18" customHeight="1">
      <c r="A22" s="51" t="n">
        <v>46299.6255787037</v>
      </c>
      <c r="B22" s="52" t="n">
        <v>350</v>
      </c>
      <c r="C22" s="53" t="inlineStr">
        <is>
          <t>02_検索</t>
        </is>
      </c>
      <c r="D22" s="54" t="inlineStr">
        <is>
          <t>200</t>
        </is>
      </c>
      <c r="E22" s="53" t="inlineStr">
        <is>
          <t>OK</t>
        </is>
      </c>
      <c r="F22" s="53" t="inlineStr">
        <is>
          <t>TG 1-14</t>
        </is>
      </c>
      <c r="G22" s="54" t="b">
        <v>1</v>
      </c>
      <c r="H22" s="55" t="n">
        <v>800</v>
      </c>
      <c r="I22" s="55" t="n">
        <v>200</v>
      </c>
      <c r="J22" s="55" t="n">
        <v>320</v>
      </c>
      <c r="K22" s="55" t="n">
        <v>10</v>
      </c>
      <c r="L22" s="53" t="inlineStr"/>
    </row>
    <row r="23" ht="18" customHeight="1">
      <c r="A23" s="46" t="n">
        <v>46299.625625</v>
      </c>
      <c r="B23" s="47" t="n">
        <v>500</v>
      </c>
      <c r="C23" s="48" t="inlineStr">
        <is>
          <t>02_検索</t>
        </is>
      </c>
      <c r="D23" s="49" t="inlineStr">
        <is>
          <t>500</t>
        </is>
      </c>
      <c r="E23" s="48" t="inlineStr">
        <is>
          <t>Server Error</t>
        </is>
      </c>
      <c r="F23" s="48" t="inlineStr">
        <is>
          <t>TG 1-15</t>
        </is>
      </c>
      <c r="G23" s="49" t="b">
        <v>0</v>
      </c>
      <c r="H23" s="50" t="n">
        <v>800</v>
      </c>
      <c r="I23" s="50" t="n">
        <v>200</v>
      </c>
      <c r="J23" s="50" t="n">
        <v>470</v>
      </c>
      <c r="K23" s="50" t="n">
        <v>10</v>
      </c>
      <c r="L23" s="48" t="inlineStr"/>
    </row>
    <row r="24" ht="18" customHeight="1">
      <c r="A24" s="51" t="n">
        <v>46299.62567129629</v>
      </c>
      <c r="B24" s="52" t="n">
        <v>800</v>
      </c>
      <c r="C24" s="53" t="inlineStr">
        <is>
          <t>02_検索</t>
        </is>
      </c>
      <c r="D24" s="54" t="inlineStr">
        <is>
          <t>200</t>
        </is>
      </c>
      <c r="E24" s="53" t="inlineStr">
        <is>
          <t>OK</t>
        </is>
      </c>
      <c r="F24" s="53" t="inlineStr">
        <is>
          <t>TG 1-16</t>
        </is>
      </c>
      <c r="G24" s="54" t="b">
        <v>1</v>
      </c>
      <c r="H24" s="55" t="n">
        <v>800</v>
      </c>
      <c r="I24" s="55" t="n">
        <v>200</v>
      </c>
      <c r="J24" s="55" t="n">
        <v>770</v>
      </c>
      <c r="K24" s="55" t="n">
        <v>10</v>
      </c>
      <c r="L24" s="53" t="inlineStr"/>
    </row>
    <row r="25" ht="18" customHeight="1">
      <c r="A25" s="46" t="n">
        <v>46299.62571759259</v>
      </c>
      <c r="B25" s="47" t="n">
        <v>1200</v>
      </c>
      <c r="C25" s="48" t="inlineStr">
        <is>
          <t>02_検索</t>
        </is>
      </c>
      <c r="D25" s="49" t="inlineStr">
        <is>
          <t>200</t>
        </is>
      </c>
      <c r="E25" s="48" t="inlineStr">
        <is>
          <t>OK</t>
        </is>
      </c>
      <c r="F25" s="48" t="inlineStr">
        <is>
          <t>TG 1-17</t>
        </is>
      </c>
      <c r="G25" s="49" t="b">
        <v>1</v>
      </c>
      <c r="H25" s="50" t="n">
        <v>800</v>
      </c>
      <c r="I25" s="50" t="n">
        <v>200</v>
      </c>
      <c r="J25" s="50" t="n">
        <v>1170</v>
      </c>
      <c r="K25" s="50" t="n">
        <v>10</v>
      </c>
      <c r="L25" s="48" t="inlineStr"/>
    </row>
    <row r="26" ht="18" customHeight="1">
      <c r="A26" s="51" t="n">
        <v>46299.62638888889</v>
      </c>
      <c r="B26" s="52" t="n">
        <v>80</v>
      </c>
      <c r="C26" s="53" t="inlineStr">
        <is>
          <t>03_詳細</t>
        </is>
      </c>
      <c r="D26" s="54" t="inlineStr">
        <is>
          <t>200</t>
        </is>
      </c>
      <c r="E26" s="53" t="inlineStr">
        <is>
          <t>OK</t>
        </is>
      </c>
      <c r="F26" s="53" t="inlineStr">
        <is>
          <t>TG 1-18</t>
        </is>
      </c>
      <c r="G26" s="54" t="b">
        <v>1</v>
      </c>
      <c r="H26" s="55" t="n">
        <v>800</v>
      </c>
      <c r="I26" s="55" t="n">
        <v>200</v>
      </c>
      <c r="J26" s="55" t="n">
        <v>50</v>
      </c>
      <c r="K26" s="55" t="n">
        <v>10</v>
      </c>
      <c r="L26" s="53" t="inlineStr"/>
    </row>
    <row r="27" ht="18" customHeight="1">
      <c r="A27" s="46" t="n">
        <v>46299.62641203704</v>
      </c>
      <c r="B27" s="47" t="n">
        <v>90</v>
      </c>
      <c r="C27" s="48" t="inlineStr">
        <is>
          <t>03_詳細</t>
        </is>
      </c>
      <c r="D27" s="49" t="inlineStr">
        <is>
          <t>200</t>
        </is>
      </c>
      <c r="E27" s="48" t="inlineStr">
        <is>
          <t>OK</t>
        </is>
      </c>
      <c r="F27" s="48" t="inlineStr">
        <is>
          <t>TG 1-19</t>
        </is>
      </c>
      <c r="G27" s="49" t="b">
        <v>1</v>
      </c>
      <c r="H27" s="50" t="n">
        <v>800</v>
      </c>
      <c r="I27" s="50" t="n">
        <v>200</v>
      </c>
      <c r="J27" s="50" t="n">
        <v>60</v>
      </c>
      <c r="K27" s="50" t="n">
        <v>10</v>
      </c>
      <c r="L27" s="48" t="inlineStr"/>
    </row>
    <row r="28" ht="18" customHeight="1">
      <c r="A28" s="51" t="n">
        <v>46299.62643518519</v>
      </c>
      <c r="B28" s="52" t="n">
        <v>100</v>
      </c>
      <c r="C28" s="53" t="inlineStr">
        <is>
          <t>03_詳細</t>
        </is>
      </c>
      <c r="D28" s="54" t="inlineStr">
        <is>
          <t>200</t>
        </is>
      </c>
      <c r="E28" s="53" t="inlineStr">
        <is>
          <t>OK</t>
        </is>
      </c>
      <c r="F28" s="53" t="inlineStr">
        <is>
          <t>TG 1-20</t>
        </is>
      </c>
      <c r="G28" s="54" t="b">
        <v>1</v>
      </c>
      <c r="H28" s="55" t="n">
        <v>800</v>
      </c>
      <c r="I28" s="55" t="n">
        <v>200</v>
      </c>
      <c r="J28" s="55" t="n">
        <v>70</v>
      </c>
      <c r="K28" s="55" t="n">
        <v>10</v>
      </c>
      <c r="L28" s="53" t="inlineStr"/>
    </row>
    <row r="29" ht="18" customHeight="1">
      <c r="A29" s="46" t="n">
        <v>46299.62645833333</v>
      </c>
      <c r="B29" s="47" t="n">
        <v>110</v>
      </c>
      <c r="C29" s="48" t="inlineStr">
        <is>
          <t>03_詳細</t>
        </is>
      </c>
      <c r="D29" s="49" t="inlineStr">
        <is>
          <t>200</t>
        </is>
      </c>
      <c r="E29" s="48" t="inlineStr">
        <is>
          <t>OK</t>
        </is>
      </c>
      <c r="F29" s="48" t="inlineStr">
        <is>
          <t>TG 1-21</t>
        </is>
      </c>
      <c r="G29" s="49" t="b">
        <v>1</v>
      </c>
      <c r="H29" s="50" t="n">
        <v>800</v>
      </c>
      <c r="I29" s="50" t="n">
        <v>200</v>
      </c>
      <c r="J29" s="50" t="n">
        <v>80</v>
      </c>
      <c r="K29" s="50" t="n">
        <v>10</v>
      </c>
      <c r="L29" s="48" t="inlineStr"/>
    </row>
    <row r="30" ht="18" customHeight="1">
      <c r="A30" s="51" t="n">
        <v>46299.62648148148</v>
      </c>
      <c r="B30" s="52" t="n">
        <v>130</v>
      </c>
      <c r="C30" s="53" t="inlineStr">
        <is>
          <t>03_詳細</t>
        </is>
      </c>
      <c r="D30" s="54" t="inlineStr">
        <is>
          <t>200</t>
        </is>
      </c>
      <c r="E30" s="53" t="inlineStr">
        <is>
          <t>OK</t>
        </is>
      </c>
      <c r="F30" s="53" t="inlineStr">
        <is>
          <t>TG 1-22</t>
        </is>
      </c>
      <c r="G30" s="54" t="b">
        <v>1</v>
      </c>
      <c r="H30" s="55" t="n">
        <v>800</v>
      </c>
      <c r="I30" s="55" t="n">
        <v>200</v>
      </c>
      <c r="J30" s="55" t="n">
        <v>100</v>
      </c>
      <c r="K30" s="55" t="n">
        <v>10</v>
      </c>
      <c r="L30" s="53" t="inlineStr"/>
    </row>
    <row r="31" ht="18" customHeight="1">
      <c r="A31" s="46" t="n">
        <v>46299.62650462963</v>
      </c>
      <c r="B31" s="47" t="n">
        <v>140</v>
      </c>
      <c r="C31" s="48" t="inlineStr">
        <is>
          <t>03_詳細</t>
        </is>
      </c>
      <c r="D31" s="49" t="inlineStr">
        <is>
          <t>200</t>
        </is>
      </c>
      <c r="E31" s="48" t="inlineStr">
        <is>
          <t>OK</t>
        </is>
      </c>
      <c r="F31" s="48" t="inlineStr">
        <is>
          <t>TG 1-23</t>
        </is>
      </c>
      <c r="G31" s="49" t="b">
        <v>1</v>
      </c>
      <c r="H31" s="50" t="n">
        <v>800</v>
      </c>
      <c r="I31" s="50" t="n">
        <v>200</v>
      </c>
      <c r="J31" s="50" t="n">
        <v>110</v>
      </c>
      <c r="K31" s="50" t="n">
        <v>10</v>
      </c>
      <c r="L31" s="48" t="inlineStr"/>
    </row>
    <row r="33" ht="24" customHeight="1">
      <c r="A33" s="5" t="inlineStr">
        <is>
          <t>ラベルごとの計算（数式）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32" customHeight="1">
      <c r="A34" s="33" t="inlineStr">
        <is>
          <t>95% は PERCENTILE.INC。位置は (件数-1)×0.95。件数 9 の検索は、遅い方から数えて 800 と 1200 のあいだになり 1040。平均は失敗の 500ms を含むので 452.2。成功だけなら 446.3。件/秒は、そのラベルの最終時刻と最初時刻の差（秒）で件数を割る。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 ht="28" customHeight="1">
      <c r="A35" s="56" t="inlineStr">
        <is>
          <t>label</t>
        </is>
      </c>
      <c r="B35" s="56" t="inlineStr">
        <is>
          <t>件数</t>
        </is>
      </c>
      <c r="C35" s="56" t="inlineStr">
        <is>
          <t>エラー数</t>
        </is>
      </c>
      <c r="D35" s="56" t="inlineStr">
        <is>
          <t>エラー率</t>
        </is>
      </c>
      <c r="E35" s="56" t="inlineStr">
        <is>
          <t>平均ms</t>
        </is>
      </c>
      <c r="F35" s="56" t="inlineStr">
        <is>
          <t>中央値ms</t>
        </is>
      </c>
      <c r="G35" s="56" t="inlineStr">
        <is>
          <t>95%ms</t>
        </is>
      </c>
      <c r="H35" s="56" t="inlineStr">
        <is>
          <t>最小</t>
        </is>
      </c>
      <c r="I35" s="56" t="inlineStr">
        <is>
          <t>最大</t>
        </is>
      </c>
      <c r="J35" s="56" t="inlineStr">
        <is>
          <t>経過秒</t>
        </is>
      </c>
      <c r="K35" s="56" t="inlineStr">
        <is>
          <t>件/秒</t>
        </is>
      </c>
      <c r="L35" s="56" t="inlineStr">
        <is>
          <t>成功のみ平均</t>
        </is>
      </c>
    </row>
    <row r="36" ht="22" customHeight="1">
      <c r="A36" s="57" t="inlineStr">
        <is>
          <t>01_ログイン</t>
        </is>
      </c>
      <c r="B36" s="47">
        <f>COUNTIFS($C$9:$C$31,A36)</f>
        <v/>
      </c>
      <c r="C36" s="47">
        <f>COUNTIFS($C$9:$C$31,A36,$G$9:$G$31,FALSE)</f>
        <v/>
      </c>
      <c r="D36" s="58">
        <f>IF(B36=0,"",C36/B36)</f>
        <v/>
      </c>
      <c r="E36" s="59">
        <f>IF(B36=0,"",AVERAGEIFS($B$9:$B$31,$C$9:$C$31,A36))</f>
        <v/>
      </c>
      <c r="F36" s="59">
        <f>IF(B36=0,"",MEDIAN(_xlfn.FILTER($B$9:$B$31,$C$9:$C$31=A36)))</f>
        <v/>
      </c>
      <c r="G36" s="59">
        <f>IF(B36=0,"",_xlfn.PERCENTILE.INC(_xlfn.FILTER($B$9:$B$31,$C$9:$C$31=A36),0.95))</f>
        <v/>
      </c>
      <c r="H36" s="59">
        <f>_xlfn.MINIFS($B$9:$B$31,$C$9:$C$31,A36)</f>
        <v/>
      </c>
      <c r="I36" s="59">
        <f>_xlfn.MAXIFS($B$9:$B$31,$C$9:$C$31,A36)</f>
        <v/>
      </c>
      <c r="J36" s="59">
        <f>(_xlfn.MAXIFS($A$9:$A$31,$C$9:$C$31,A36)-_xlfn.MINIFS($A$9:$A$31,$C$9:$C$31,A36))*86400</f>
        <v/>
      </c>
      <c r="K36" s="60">
        <f>IF(J36=0,"",B36/J36)</f>
        <v/>
      </c>
      <c r="L36" s="59">
        <f>AVERAGEIFS($B$9:$B$31,$C$9:$C$31,A36,$G$9:$G$31,TRUE)</f>
        <v/>
      </c>
    </row>
    <row r="37" ht="22" customHeight="1">
      <c r="A37" s="57" t="inlineStr">
        <is>
          <t>02_検索</t>
        </is>
      </c>
      <c r="B37" s="47">
        <f>COUNTIFS($C$9:$C$31,A37)</f>
        <v/>
      </c>
      <c r="C37" s="47">
        <f>COUNTIFS($C$9:$C$31,A37,$G$9:$G$31,FALSE)</f>
        <v/>
      </c>
      <c r="D37" s="58">
        <f>IF(B37=0,"",C37/B37)</f>
        <v/>
      </c>
      <c r="E37" s="59">
        <f>IF(B37=0,"",AVERAGEIFS($B$9:$B$31,$C$9:$C$31,A37))</f>
        <v/>
      </c>
      <c r="F37" s="59">
        <f>IF(B37=0,"",MEDIAN(_xlfn.FILTER($B$9:$B$31,$C$9:$C$31=A37)))</f>
        <v/>
      </c>
      <c r="G37" s="59">
        <f>IF(B37=0,"",_xlfn.PERCENTILE.INC(_xlfn.FILTER($B$9:$B$31,$C$9:$C$31=A37),0.95))</f>
        <v/>
      </c>
      <c r="H37" s="59">
        <f>_xlfn.MINIFS($B$9:$B$31,$C$9:$C$31,A37)</f>
        <v/>
      </c>
      <c r="I37" s="59">
        <f>_xlfn.MAXIFS($B$9:$B$31,$C$9:$C$31,A37)</f>
        <v/>
      </c>
      <c r="J37" s="59">
        <f>(_xlfn.MAXIFS($A$9:$A$31,$C$9:$C$31,A37)-_xlfn.MINIFS($A$9:$A$31,$C$9:$C$31,A37))*86400</f>
        <v/>
      </c>
      <c r="K37" s="60">
        <f>IF(J37=0,"",B37/J37)</f>
        <v/>
      </c>
      <c r="L37" s="59">
        <f>AVERAGEIFS($B$9:$B$31,$C$9:$C$31,A37,$G$9:$G$31,TRUE)</f>
        <v/>
      </c>
    </row>
    <row r="38" ht="22" customHeight="1">
      <c r="A38" s="57" t="inlineStr">
        <is>
          <t>03_詳細</t>
        </is>
      </c>
      <c r="B38" s="47">
        <f>COUNTIFS($C$9:$C$31,A38)</f>
        <v/>
      </c>
      <c r="C38" s="47">
        <f>COUNTIFS($C$9:$C$31,A38,$G$9:$G$31,FALSE)</f>
        <v/>
      </c>
      <c r="D38" s="58">
        <f>IF(B38=0,"",C38/B38)</f>
        <v/>
      </c>
      <c r="E38" s="59">
        <f>IF(B38=0,"",AVERAGEIFS($B$9:$B$31,$C$9:$C$31,A38))</f>
        <v/>
      </c>
      <c r="F38" s="59">
        <f>IF(B38=0,"",MEDIAN(_xlfn.FILTER($B$9:$B$31,$C$9:$C$31=A38)))</f>
        <v/>
      </c>
      <c r="G38" s="59">
        <f>IF(B38=0,"",_xlfn.PERCENTILE.INC(_xlfn.FILTER($B$9:$B$31,$C$9:$C$31=A38),0.95))</f>
        <v/>
      </c>
      <c r="H38" s="59">
        <f>_xlfn.MINIFS($B$9:$B$31,$C$9:$C$31,A38)</f>
        <v/>
      </c>
      <c r="I38" s="59">
        <f>_xlfn.MAXIFS($B$9:$B$31,$C$9:$C$31,A38)</f>
        <v/>
      </c>
      <c r="J38" s="59">
        <f>(_xlfn.MAXIFS($A$9:$A$31,$C$9:$C$31,A38)-_xlfn.MINIFS($A$9:$A$31,$C$9:$C$31,A38))*86400</f>
        <v/>
      </c>
      <c r="K38" s="60">
        <f>IF(J38=0,"",B38/J38)</f>
        <v/>
      </c>
      <c r="L38" s="59">
        <f>AVERAGEIFS($B$9:$B$31,$C$9:$C$31,A38,$G$9:$G$31,TRUE)</f>
        <v/>
      </c>
    </row>
    <row r="40" ht="44" customHeight="1">
      <c r="A40" s="18" t="inlineStr">
        <is>
          <t>検算の目安（この架空データ）: 01_ログインは件数 8、エラー 0、平均 193.8、中央値 170、95% 333.5、経過 21 秒、件/秒 0.381。02_検索は件数 9、エラー 1、エラー率 11.11%、平均 452.2、中央値 300、95% 1040、経過 32 秒、件/秒 0.281、成功のみ平均 446.3。03_詳細は件数 6、平均 108.3、中央値 105、95% 137.5、経過 10 秒、件/秒 0.600。Excel が再計算した値と小数 1 桁で揃えば、数式は意図どおり。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 ht="22" customHeight="1">
      <c r="A41" s="14" t="inlineStr">
        <is>
          <t>IMG-39    画像差し込み枠    この計算例シートを Excel で開いて再計算した画面（任意）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 ht="148" customHeight="1">
      <c r="A42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数式を理解したあとに撮る。提出物ではない。
画角: 02_検索の行で、平均と 95% とエラー率が見える。
文章は図の下に隠れてもよい。どの図かは 32_画像台帳 の IMG-39 を見る。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</sheetData>
  <mergeCells count="12">
    <mergeCell ref="A2:L2"/>
    <mergeCell ref="A7:L7"/>
    <mergeCell ref="A42:L42"/>
    <mergeCell ref="A41:L41"/>
    <mergeCell ref="A33:L33"/>
    <mergeCell ref="A1:L1"/>
    <mergeCell ref="A5:L5"/>
    <mergeCell ref="A6:L6"/>
    <mergeCell ref="A40:L40"/>
    <mergeCell ref="A3:L3"/>
    <mergeCell ref="A34:L34"/>
    <mergeCell ref="A4:L4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32"/>
  <sheetViews>
    <sheetView showGridLines="0" showZeros="1" view="normal" zoomScale="100" workbookViewId="0">
      <pane ySplit="6" topLeftCell="A7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対処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症状から、最初に見る場所を決める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人数を増やす対処は、ここに無い。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症状</t>
        </is>
      </c>
      <c r="B6" s="6" t="inlineStr">
        <is>
          <t>最初に見る</t>
        </is>
      </c>
      <c r="C6" s="6" t="inlineStr">
        <is>
          <t>切り分け</t>
        </is>
      </c>
      <c r="D6" s="6" t="inlineStr">
        <is>
          <t>対処</t>
        </is>
      </c>
      <c r="E6" s="6" t="inlineStr">
        <is>
          <t>再発防止</t>
        </is>
      </c>
      <c r="F6" s="6" t="inlineStr"/>
      <c r="G6" s="6" t="inlineStr"/>
    </row>
    <row r="7" ht="32" customHeight="1">
      <c r="A7" s="7" t="inlineStr">
        <is>
          <t>jmeter.bat の黒い窓がすぐ閉じる</t>
        </is>
      </c>
      <c r="B7" s="7" t="inlineStr">
        <is>
          <t>新しい PowerShell で java -version</t>
        </is>
      </c>
      <c r="C7" s="7" t="inlineStr">
        <is>
          <t>java が無い、または JAVA_HOME が古い窓のまま。</t>
        </is>
      </c>
      <c r="D7" s="7" t="inlineStr">
        <is>
          <t>05。窓を開き直す。</t>
        </is>
      </c>
      <c r="E7" s="7" t="inlineStr">
        <is>
          <t>setenv の前に Java を確認する。</t>
        </is>
      </c>
      <c r="F7" s="7" t="inlineStr"/>
      <c r="G7" s="7" t="inlineStr"/>
    </row>
    <row r="8" ht="32" customHeight="1">
      <c r="A8" s="8" t="inlineStr">
        <is>
          <t>メニューが英語</t>
        </is>
      </c>
      <c r="B8" s="8" t="inlineStr">
        <is>
          <t>bin\setenv.bat の有無とファイル名</t>
        </is>
      </c>
      <c r="C8" s="8" t="inlineStr">
        <is>
          <t>setenv.bat.txt になっている。</t>
        </is>
      </c>
      <c r="D8" s="8" t="inlineStr">
        <is>
          <t>拡張子を表示して改名。JMeter を再起動。</t>
        </is>
      </c>
      <c r="E8" s="8" t="inlineStr">
        <is>
          <t>08 のスクショを残す。</t>
        </is>
      </c>
      <c r="F8" s="8" t="inlineStr"/>
      <c r="G8" s="8" t="inlineStr"/>
    </row>
    <row r="9" ht="32" customHeight="1">
      <c r="A9" s="7" t="inlineStr">
        <is>
          <t>日本語が CSV で化ける</t>
        </is>
      </c>
      <c r="B9" s="7" t="inlineStr">
        <is>
          <t>users.csv の文字コード</t>
        </is>
      </c>
      <c r="C9" s="7" t="inlineStr">
        <is>
          <t>Excel の ANSI CSV を使った。</t>
        </is>
      </c>
      <c r="D9" s="7" t="inlineStr">
        <is>
          <t>CSV UTF-8 で保存し直し、File encoding を UTF-8。</t>
        </is>
      </c>
      <c r="E9" s="7" t="inlineStr">
        <is>
          <t>13。</t>
        </is>
      </c>
      <c r="F9" s="7" t="inlineStr"/>
      <c r="G9" s="7" t="inlineStr"/>
    </row>
    <row r="10" ht="32" customHeight="1">
      <c r="A10" s="8" t="inlineStr">
        <is>
          <t>${user} がそのまま送られる</t>
        </is>
      </c>
      <c r="B10" s="8" t="inlineStr">
        <is>
          <t>結果ツリーの Request</t>
        </is>
      </c>
      <c r="C10" s="8" t="inlineStr">
        <is>
          <t>列名不一致、BOM、ファイル未配置。</t>
        </is>
      </c>
      <c r="D10" s="8" t="inlineStr">
        <is>
          <t>1 行目を user にする。jmx と同じフォルダ。</t>
        </is>
      </c>
      <c r="E10" s="8" t="inlineStr">
        <is>
          <t>相対パスを守る。</t>
        </is>
      </c>
      <c r="F10" s="8" t="inlineStr"/>
      <c r="G10" s="8" t="inlineStr"/>
    </row>
    <row r="11" ht="32" customHeight="1">
      <c r="A11" s="7" t="inlineStr">
        <is>
          <t>TOKEN_NOT_FOUND</t>
        </is>
      </c>
      <c r="B11" s="7" t="inlineStr">
        <is>
          <t>ログインの Response data</t>
        </is>
      </c>
      <c r="C11" s="7" t="inlineStr">
        <is>
          <t>JSON Path が実応答と違う。</t>
        </is>
      </c>
      <c r="D11" s="7" t="inlineStr">
        <is>
          <t>実応答に合わせて Path を直す。Default は残す。</t>
        </is>
      </c>
      <c r="E11" s="7" t="inlineStr">
        <is>
          <t>13 の枠の設定を維持。</t>
        </is>
      </c>
      <c r="F11" s="7" t="inlineStr"/>
      <c r="G11" s="7" t="inlineStr"/>
    </row>
    <row r="12" ht="32" customHeight="1">
      <c r="A12" s="8" t="inlineStr">
        <is>
          <t>CLI が即終了し jtl が無い</t>
        </is>
      </c>
      <c r="B12" s="8" t="inlineStr">
        <is>
          <t>jmeter.log の末尾</t>
        </is>
      </c>
      <c r="C12" s="8" t="inlineStr">
        <is>
          <t>jmx の要素が未知、または -t のパス違い。</t>
        </is>
      </c>
      <c r="D12" s="8" t="inlineStr">
        <is>
          <t>プラグイン jar、パス、バージョンを揃える。</t>
        </is>
      </c>
      <c r="E12" s="8" t="inlineStr">
        <is>
          <t>16 の版の確認。</t>
        </is>
      </c>
      <c r="F12" s="8" t="inlineStr"/>
      <c r="G12" s="8" t="inlineStr"/>
    </row>
    <row r="13" ht="32" customHeight="1">
      <c r="A13" s="7" t="inlineStr">
        <is>
          <t>FileNotFound users.csv</t>
        </is>
      </c>
      <c r="B13" s="7" t="inlineStr">
        <is>
          <t>jmeter.log と ls</t>
        </is>
      </c>
      <c r="C13" s="7" t="inlineStr">
        <is>
          <t>csv が jmx の隣に無い。</t>
        </is>
      </c>
      <c r="D13" s="7" t="inlineStr">
        <is>
          <t>plans/order-search に並べる。</t>
        </is>
      </c>
      <c r="E13" s="7" t="inlineStr">
        <is>
          <t>17 の 4 ファイル。</t>
        </is>
      </c>
      <c r="F13" s="7" t="inlineStr"/>
      <c r="G13" s="7" t="inlineStr"/>
    </row>
    <row r="14" ht="32" customHeight="1">
      <c r="A14" s="8" t="inlineStr">
        <is>
          <t>$ '\r' : command not found</t>
        </is>
      </c>
      <c r="B14" s="8" t="inlineStr">
        <is>
          <t>file run.sh</t>
        </is>
      </c>
      <c r="C14" s="8" t="inlineStr">
        <is>
          <t>CRLF。</t>
        </is>
      </c>
      <c r="D14" s="8" t="inlineStr">
        <is>
          <t>sed -i 's/\r$//' run.sh またはメモ帳で LF 保存し直す。</t>
        </is>
      </c>
      <c r="E14" s="8" t="inlineStr">
        <is>
          <t>転送前に LF。</t>
        </is>
      </c>
      <c r="F14" s="8" t="inlineStr"/>
      <c r="G14" s="8" t="inlineStr"/>
    </row>
    <row r="15" ht="32" customHeight="1">
      <c r="A15" s="7" t="inlineStr">
        <is>
          <t>-o のフォルダが空でない</t>
        </is>
      </c>
      <c r="B15" s="7" t="inlineStr">
        <is>
          <t>jmeter.log</t>
        </is>
      </c>
      <c r="C15" s="7" t="inlineStr">
        <is>
          <t>html-report を先に作った。</t>
        </is>
      </c>
      <c r="D15" s="7" t="inlineStr">
        <is>
          <t>その回は捨て、新しい STAMP で実行。同じパスで消してよいときだけ -f。</t>
        </is>
      </c>
      <c r="E15" s="7" t="inlineStr">
        <is>
          <t>run.sh の mkdir 対象に html-report を入れない。</t>
        </is>
      </c>
      <c r="F15" s="7" t="inlineStr"/>
      <c r="G15" s="7" t="inlineStr"/>
    </row>
    <row r="16" ht="32" customHeight="1">
      <c r="A16" s="8" t="inlineStr">
        <is>
          <t>HTML の時刻がずれる</t>
        </is>
      </c>
      <c r="B16" s="8" t="inlineStr">
        <is>
          <t>timestamp_format と date_format</t>
        </is>
      </c>
      <c r="C16" s="8" t="inlineStr">
        <is>
          <t>片方だけ変えた。</t>
        </is>
      </c>
      <c r="D16" s="8" t="inlineStr">
        <is>
          <t>31 の 2 行を同じ書式にして、jtl から -g で作り直す。</t>
        </is>
      </c>
      <c r="E16" s="8" t="inlineStr">
        <is>
          <t>08。</t>
        </is>
      </c>
      <c r="F16" s="8" t="inlineStr"/>
      <c r="G16" s="8" t="inlineStr"/>
    </row>
    <row r="17" ht="32" customHeight="1">
      <c r="A17" s="7" t="inlineStr">
        <is>
          <t>Active が 1 のまま</t>
        </is>
      </c>
      <c r="B17" s="7" t="inlineStr">
        <is>
          <t>シナリオの式と -J のキー</t>
        </is>
      </c>
      <c r="C17" s="7" t="inlineStr">
        <is>
          <t>__P の名前と -J が不一致。</t>
        </is>
      </c>
      <c r="D17" s="7" t="inlineStr">
        <is>
          <t>-Jthreads と ${__P(threads,1)} を一致させる。</t>
        </is>
      </c>
      <c r="E17" s="7" t="inlineStr">
        <is>
          <t>19 の確認節。</t>
        </is>
      </c>
      <c r="F17" s="7" t="inlineStr"/>
      <c r="G17" s="7" t="inlineStr"/>
    </row>
    <row r="18" ht="32" customHeight="1">
      <c r="A18" s="8" t="inlineStr">
        <is>
          <t>Too many open files</t>
        </is>
      </c>
      <c r="B18" s="8" t="inlineStr">
        <is>
          <t>ulimit -n と jmeter.log</t>
        </is>
      </c>
      <c r="C18" s="8" t="inlineStr">
        <is>
          <t>ファイルディスクリプタ不足。</t>
        </is>
      </c>
      <c r="D18" s="8" t="inlineStr">
        <is>
          <t>実行ユーザの nofile を上げてからやり直す。上げ方は OS の手順に従う。</t>
        </is>
      </c>
      <c r="E18" s="8" t="inlineStr">
        <is>
          <t>18 の ulimit 確認。</t>
        </is>
      </c>
      <c r="F18" s="8" t="inlineStr"/>
      <c r="G18" s="8" t="inlineStr"/>
    </row>
    <row r="19" ht="44" customHeight="1">
      <c r="A19" s="7" t="inlineStr">
        <is>
          <t>OutOfMemoryError</t>
        </is>
      </c>
      <c r="B19" s="7" t="inlineStr">
        <is>
          <t>jmeter.log</t>
        </is>
      </c>
      <c r="C19" s="7" t="inlineStr">
        <is>
          <t>リスナーが有効、ヒープが小さい、応答本文を保存している。</t>
        </is>
      </c>
      <c r="D19" s="7" t="inlineStr">
        <is>
          <t>リスナー無効、response_data=false、HEAP を 2g の範囲で見直す。人数を先に増やさない。</t>
        </is>
      </c>
      <c r="E19" s="7" t="inlineStr">
        <is>
          <t>16。</t>
        </is>
      </c>
      <c r="F19" s="7" t="inlineStr"/>
      <c r="G19" s="7" t="inlineStr"/>
    </row>
    <row r="20" ht="32" customHeight="1">
      <c r="A20" s="8" t="inlineStr">
        <is>
          <t>Err が最初から 100%</t>
        </is>
      </c>
      <c r="B20" s="8" t="inlineStr">
        <is>
          <t>エラー行の responseCode</t>
        </is>
      </c>
      <c r="C20" s="8" t="inlineStr">
        <is>
          <t>ホスト名、証明書、パス、認証のどれかで全件失敗。</t>
        </is>
      </c>
      <c r="D20" s="8" t="inlineStr">
        <is>
          <t>1 人の GUI に戻る。負荷を続けない。</t>
        </is>
      </c>
      <c r="E20" s="8" t="inlineStr">
        <is>
          <t>14 を通ってから CLI。</t>
        </is>
      </c>
      <c r="F20" s="8" t="inlineStr"/>
      <c r="G20" s="8" t="inlineStr"/>
    </row>
    <row r="21" ht="32" customHeight="1">
      <c r="A21" s="7" t="inlineStr">
        <is>
          <t>SSH を閉じたら試験が消えた</t>
        </is>
      </c>
      <c r="B21" s="7" t="inlineStr">
        <is>
          <t>ps に jmeter が無い</t>
        </is>
      </c>
      <c r="C21" s="7" t="inlineStr">
        <is>
          <t>tmux 無しで切断した。</t>
        </is>
      </c>
      <c r="D21" s="7" t="inlineStr">
        <is>
          <t>その回は中断として記録。取り直す。</t>
        </is>
      </c>
      <c r="E21" s="7" t="inlineStr">
        <is>
          <t>19 の tmux。</t>
        </is>
      </c>
      <c r="F21" s="7" t="inlineStr"/>
      <c r="G21" s="7" t="inlineStr"/>
    </row>
    <row r="22" ht="32" customHeight="1">
      <c r="A22" s="8" t="inlineStr">
        <is>
          <t>Excel が jtl で固まる</t>
        </is>
      </c>
      <c r="B22" s="8" t="inlineStr">
        <is>
          <t>タスクマネージャ</t>
        </is>
      </c>
      <c r="C22" s="8" t="inlineStr">
        <is>
          <t>ダブルクリックで全行を開いた。</t>
        </is>
      </c>
      <c r="D22" s="8" t="inlineStr">
        <is>
          <t>Excel を強制終了してよい。23 の Power Query でエラー行だけにする。</t>
        </is>
      </c>
      <c r="E22" s="8" t="inlineStr">
        <is>
          <t>jtl を関連付けで開かない。</t>
        </is>
      </c>
      <c r="F22" s="8" t="inlineStr"/>
      <c r="G22" s="8" t="inlineStr"/>
    </row>
    <row r="23" ht="32" customHeight="1">
      <c r="A23" s="7" t="inlineStr">
        <is>
          <t>statistics.json が無い</t>
        </is>
      </c>
      <c r="B23" s="7" t="inlineStr">
        <is>
          <t>html-report の有無と log</t>
        </is>
      </c>
      <c r="C23" s="7" t="inlineStr">
        <is>
          <t>HTML 生成に失敗した。</t>
        </is>
      </c>
      <c r="D23" s="7" t="inlineStr">
        <is>
          <t>log の原因を直して jmeter -g result.jtl -o 新しい空フォルダ。</t>
        </is>
      </c>
      <c r="E23" s="7" t="inlineStr">
        <is>
          <t>08 の列設定。</t>
        </is>
      </c>
      <c r="F23" s="7" t="inlineStr"/>
      <c r="G23" s="7" t="inlineStr"/>
    </row>
    <row r="24" ht="32" customHeight="1">
      <c r="A24" s="8" t="inlineStr">
        <is>
          <t>判定が全部不合格になる</t>
        </is>
      </c>
      <c r="B24" s="8" t="inlineStr">
        <is>
          <t>26 の基準セルと単位</t>
        </is>
      </c>
      <c r="C24" s="8" t="inlineStr">
        <is>
          <t>秒で書かれた基準とミリ秒の実測を比べている。</t>
        </is>
      </c>
      <c r="D24" s="8" t="inlineStr">
        <is>
          <t>基準はミリ秒。95% の列に pct2 を貼っているか確認。</t>
        </is>
      </c>
      <c r="E24" s="8" t="inlineStr">
        <is>
          <t>26 の注記。</t>
        </is>
      </c>
      <c r="F24" s="8" t="inlineStr"/>
      <c r="G24" s="8" t="inlineStr"/>
    </row>
    <row r="25" ht="22" customHeight="1">
      <c r="A25" s="7" t="inlineStr">
        <is>
          <t>総合が空のまま</t>
        </is>
      </c>
      <c r="B25" s="7" t="inlineStr">
        <is>
          <t>取引のサンプル数</t>
        </is>
      </c>
      <c r="C25" s="7" t="inlineStr">
        <is>
          <t>行が空。</t>
        </is>
      </c>
      <c r="D25" s="7" t="inlineStr">
        <is>
          <t>A と B を入れると判定が出る。</t>
        </is>
      </c>
      <c r="E25" s="7" t="inlineStr">
        <is>
          <t>値の貼り付け。</t>
        </is>
      </c>
      <c r="F25" s="7" t="inlineStr"/>
      <c r="G25" s="7" t="inlineStr"/>
    </row>
    <row r="26" ht="32" customHeight="1">
      <c r="A26" s="8" t="inlineStr">
        <is>
          <t>invalid_client</t>
        </is>
      </c>
      <c r="B26" s="8" t="inlineStr">
        <is>
          <t>トークン取得の Response data の error</t>
        </is>
      </c>
      <c r="C26" s="8" t="inlineStr">
        <is>
          <t>Base64、client_id、client_secret、Content-Type。</t>
        </is>
      </c>
      <c r="D26" s="8" t="inlineStr">
        <is>
          <t>36。secrets を直し、JMeter を起動し直す。</t>
        </is>
      </c>
      <c r="E26" s="8" t="inlineStr">
        <is>
          <t>秘密をログや図に残さない。</t>
        </is>
      </c>
      <c r="F26" s="8" t="inlineStr"/>
      <c r="G26" s="8" t="inlineStr"/>
    </row>
    <row r="27" ht="32" customHeight="1">
      <c r="A27" s="7" t="inlineStr">
        <is>
          <t>${basic_credentials} が残る</t>
        </is>
      </c>
      <c r="B27" s="7" t="inlineStr">
        <is>
          <t>トークン取得の Request ヘッダ</t>
        </is>
      </c>
      <c r="C27" s="7" t="inlineStr">
        <is>
          <t>前処理が子でない、Language が groovy でない、-q が無い。</t>
        </is>
      </c>
      <c r="D27" s="7" t="inlineStr">
        <is>
          <t>35 の手順 5 と 12。</t>
        </is>
      </c>
      <c r="E27" s="7" t="inlineStr">
        <is>
          <t>GUI は -q 付きで開く。</t>
        </is>
      </c>
      <c r="F27" s="7" t="inlineStr"/>
      <c r="G27" s="7" t="inlineStr"/>
    </row>
    <row r="28" ht="44" customHeight="1">
      <c r="A28" s="8" t="inlineStr">
        <is>
          <t>Bearer の位置に式が残る</t>
        </is>
      </c>
      <c r="B28" s="8" t="inlineStr">
        <is>
          <t>業務の Request ヘッダ</t>
        </is>
      </c>
      <c r="C28" s="8" t="inlineStr">
        <is>
          <t>${access_token} と書いた。または PostProcessor が JSON Extractor より上。</t>
        </is>
      </c>
      <c r="D28" s="8" t="inlineStr">
        <is>
          <t>37。業務側は ${__P(access_token)}。</t>
        </is>
      </c>
      <c r="E28" s="8" t="inlineStr">
        <is>
          <t>setUp の人数は 1 のまま。</t>
        </is>
      </c>
      <c r="F28" s="8" t="inlineStr"/>
      <c r="G28" s="8" t="inlineStr"/>
    </row>
    <row r="29" ht="44" customHeight="1">
      <c r="A29" s="7" t="inlineStr">
        <is>
          <t>トークン取得が API Gateway へ飛ぶ</t>
        </is>
      </c>
      <c r="B29" s="7" t="inlineStr">
        <is>
          <t>Request のホスト</t>
        </is>
      </c>
      <c r="C29" s="7" t="inlineStr">
        <is>
          <t>HTTPリクエスト初期値がテスト計画の直下にある。トークン側のサーバ名が空。</t>
        </is>
      </c>
      <c r="D29" s="7" t="inlineStr">
        <is>
          <t>35 の手順 10 と 19。初期値は TG_業務 の中。</t>
        </is>
      </c>
      <c r="E29" s="7" t="inlineStr">
        <is>
          <t>ホストを 2 つ書く。</t>
        </is>
      </c>
      <c r="F29" s="7" t="inlineStr"/>
      <c r="G29" s="7" t="inlineStr"/>
    </row>
    <row r="30" ht="44" customHeight="1">
      <c r="A30" s="8" t="inlineStr">
        <is>
          <t>403 Forbidden</t>
        </is>
      </c>
      <c r="B30" s="8" t="inlineStr">
        <is>
          <t>業務の responseCode と送ったヘッダ名</t>
        </is>
      </c>
      <c r="C30" s="8" t="inlineStr">
        <is>
          <t>X-API-Key が契約なのに X-API-ID を送っている。値、利用プラン、ステージ。</t>
        </is>
      </c>
      <c r="D30" s="8" t="inlineStr">
        <is>
          <t>39。名前を合意に合わせる。</t>
        </is>
      </c>
      <c r="E30" s="8" t="inlineStr">
        <is>
          <t>トークンの Path を先に疑って、名前を見ない。</t>
        </is>
      </c>
      <c r="F30" s="8" t="inlineStr"/>
      <c r="G30" s="8" t="inlineStr"/>
    </row>
    <row r="31" ht="32" customHeight="1">
      <c r="A31" s="7" t="inlineStr">
        <is>
          <t>試験の後半だけ 401</t>
        </is>
      </c>
      <c r="B31" s="7" t="inlineStr">
        <is>
          <t>expires_in と -Jduration</t>
        </is>
      </c>
      <c r="C31" s="7" t="inlineStr">
        <is>
          <t>持続秒がトークンの期限以上。</t>
        </is>
      </c>
      <c r="D31" s="7" t="inlineStr">
        <is>
          <t>duration を expires_in より小さくして取り直す。</t>
        </is>
      </c>
      <c r="E31" s="7" t="inlineStr">
        <is>
          <t>期限切れの行を、サーバの性能低下と書く。</t>
        </is>
      </c>
      <c r="F31" s="7" t="inlineStr"/>
      <c r="G31" s="7" t="inlineStr"/>
    </row>
    <row r="32" ht="32" customHeight="1">
      <c r="A32" s="8" t="inlineStr">
        <is>
          <t>Can't find additional property file</t>
        </is>
      </c>
      <c r="B32" s="8" t="inlineStr">
        <is>
          <t>jmeter.log</t>
        </is>
      </c>
      <c r="C32" s="8" t="inlineStr">
        <is>
          <t>-q のパスが違う。JMeter は警告だけで続行する。</t>
        </is>
      </c>
      <c r="D32" s="8" t="inlineStr">
        <is>
          <t>パスを直し、1 人からやり直す。</t>
        </is>
      </c>
      <c r="E32" s="8" t="inlineStr">
        <is>
          <t>ファイルが無くても開始したので成功だと思わない。</t>
        </is>
      </c>
      <c r="F32" s="8" t="inlineStr"/>
      <c r="G32" s="8" t="inlineStr"/>
    </row>
  </sheetData>
  <autoFilter ref="A6:G32"/>
  <mergeCells count="5">
    <mergeCell ref="A1:G1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32"/>
  <sheetViews>
    <sheetView showGridLines="0" showZeros="1" view="normal" zoomScale="100" workbookViewId="0">
      <pane ySplit="6" topLeftCell="A7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当日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印を付けながら進める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済の列に ○ を入れる。スキップした項目は空のままにせず、理由をメモする。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段階</t>
        </is>
      </c>
      <c r="B6" s="6" t="inlineStr">
        <is>
          <t>項目</t>
        </is>
      </c>
      <c r="C6" s="6" t="inlineStr">
        <is>
          <t>確認のしかた</t>
        </is>
      </c>
      <c r="D6" s="6" t="inlineStr">
        <is>
          <t>済</t>
        </is>
      </c>
      <c r="E6" s="6" t="inlineStr">
        <is>
          <t>メモ</t>
        </is>
      </c>
      <c r="F6" s="6" t="inlineStr"/>
      <c r="G6" s="6" t="inlineStr"/>
    </row>
    <row r="7" ht="24" customHeight="1">
      <c r="A7" s="61" t="inlineStr">
        <is>
          <t>前</t>
        </is>
      </c>
      <c r="B7" s="22" t="inlineStr">
        <is>
          <t>試験対象と人数と時間と合格基準が文章で残っている</t>
        </is>
      </c>
      <c r="C7" s="22" t="inlineStr">
        <is>
          <t>チケットの文言を 26 の条件へ写せる</t>
        </is>
      </c>
      <c r="D7" s="34" t="inlineStr"/>
      <c r="E7" s="34" t="inlineStr"/>
      <c r="F7" s="22" t="inlineStr"/>
      <c r="G7" s="22" t="inlineStr"/>
    </row>
    <row r="8" ht="24" customHeight="1">
      <c r="A8" s="62" t="inlineStr">
        <is>
          <t>前</t>
        </is>
      </c>
      <c r="B8" s="24" t="inlineStr">
        <is>
          <t>端末とサーバの JMeter が 5.6.3</t>
        </is>
      </c>
      <c r="C8" s="24" t="inlineStr">
        <is>
          <t>jmeter -v と jmeter.bat -v</t>
        </is>
      </c>
      <c r="D8" s="34" t="inlineStr"/>
      <c r="E8" s="34" t="inlineStr"/>
      <c r="F8" s="24" t="inlineStr"/>
      <c r="G8" s="24" t="inlineStr"/>
    </row>
    <row r="9" ht="24" customHeight="1">
      <c r="A9" s="61" t="inlineStr">
        <is>
          <t>前</t>
        </is>
      </c>
      <c r="B9" s="22" t="inlineStr">
        <is>
          <t>Java 17 が両方で説明できる</t>
        </is>
      </c>
      <c r="C9" s="22" t="inlineStr">
        <is>
          <t>java -version</t>
        </is>
      </c>
      <c r="D9" s="34" t="inlineStr"/>
      <c r="E9" s="34" t="inlineStr"/>
      <c r="F9" s="22" t="inlineStr"/>
      <c r="G9" s="22" t="inlineStr"/>
    </row>
    <row r="10" ht="24" customHeight="1">
      <c r="A10" s="62" t="inlineStr">
        <is>
          <t>前</t>
        </is>
      </c>
      <c r="B10" s="24" t="inlineStr">
        <is>
          <t>user.properties の日時書式が対で入っている</t>
        </is>
      </c>
      <c r="C10" s="24" t="inlineStr">
        <is>
          <t>timestamp_format と date_format</t>
        </is>
      </c>
      <c r="D10" s="34" t="inlineStr"/>
      <c r="E10" s="34" t="inlineStr"/>
      <c r="F10" s="24" t="inlineStr"/>
      <c r="G10" s="24" t="inlineStr"/>
    </row>
    <row r="11" ht="24" customHeight="1">
      <c r="A11" s="61" t="inlineStr">
        <is>
          <t>前</t>
        </is>
      </c>
      <c r="B11" s="22" t="inlineStr">
        <is>
          <t>スレッド数が ${__P(threads,1)}</t>
        </is>
      </c>
      <c r="C11" s="22" t="inlineStr">
        <is>
          <t>jmx を開かず、保存済みの画面か、次回 GUI で見る</t>
        </is>
      </c>
      <c r="D11" s="34" t="inlineStr"/>
      <c r="E11" s="34" t="inlineStr"/>
      <c r="F11" s="22" t="inlineStr"/>
      <c r="G11" s="22" t="inlineStr"/>
    </row>
    <row r="12" ht="24" customHeight="1">
      <c r="A12" s="62" t="inlineStr">
        <is>
          <t>前</t>
        </is>
      </c>
      <c r="B12" s="24" t="inlineStr">
        <is>
          <t>1 人の GUI でログインと検索が緑</t>
        </is>
      </c>
      <c r="C12" s="24" t="inlineStr">
        <is>
          <t>14</t>
        </is>
      </c>
      <c r="D12" s="34" t="inlineStr"/>
      <c r="E12" s="34" t="inlineStr"/>
      <c r="F12" s="24" t="inlineStr"/>
      <c r="G12" s="24" t="inlineStr"/>
    </row>
    <row r="13" ht="24" customHeight="1">
      <c r="A13" s="61" t="inlineStr">
        <is>
          <t>前</t>
        </is>
      </c>
      <c r="B13" s="22" t="inlineStr">
        <is>
          <t>リスナーが無効、Filename が空</t>
        </is>
      </c>
      <c r="C13" s="22" t="inlineStr">
        <is>
          <t>ツリーがグレー</t>
        </is>
      </c>
      <c r="D13" s="34" t="inlineStr"/>
      <c r="E13" s="34" t="inlineStr"/>
      <c r="F13" s="22" t="inlineStr"/>
      <c r="G13" s="22" t="inlineStr"/>
    </row>
    <row r="14" ht="24" customHeight="1">
      <c r="A14" s="62" t="inlineStr">
        <is>
          <t>前</t>
        </is>
      </c>
      <c r="B14" s="24" t="inlineStr">
        <is>
          <t>CSV が UTF-8 で jmx の隣にある</t>
        </is>
      </c>
      <c r="C14" s="24" t="inlineStr">
        <is>
          <t>列名と BOM</t>
        </is>
      </c>
      <c r="D14" s="34" t="inlineStr"/>
      <c r="E14" s="34" t="inlineStr"/>
      <c r="F14" s="24" t="inlineStr"/>
      <c r="G14" s="24" t="inlineStr"/>
    </row>
    <row r="15" ht="24" customHeight="1">
      <c r="A15" s="61" t="inlineStr">
        <is>
          <t>前</t>
        </is>
      </c>
      <c r="B15" s="22" t="inlineStr">
        <is>
          <t>Cognito のとき、secrets.properties が BOM 無しで、jmx に実値が無い</t>
        </is>
      </c>
      <c r="C15" s="22" t="inlineStr">
        <is>
          <t>35 の観点。メモ帳で jmx を検索</t>
        </is>
      </c>
      <c r="D15" s="34" t="inlineStr"/>
      <c r="E15" s="34" t="inlineStr"/>
      <c r="F15" s="22" t="inlineStr"/>
      <c r="G15" s="22" t="inlineStr"/>
    </row>
    <row r="16" ht="24" customHeight="1">
      <c r="A16" s="62" t="inlineStr">
        <is>
          <t>前</t>
        </is>
      </c>
      <c r="B16" s="24" t="inlineStr">
        <is>
          <t>setUp の人数が 1。業務側が ${__P(access_token)}。ヘッダ名が合意どおり</t>
        </is>
      </c>
      <c r="C16" s="24" t="inlineStr">
        <is>
          <t>35 と 39</t>
        </is>
      </c>
      <c r="D16" s="34" t="inlineStr"/>
      <c r="E16" s="34" t="inlineStr"/>
      <c r="F16" s="24" t="inlineStr"/>
      <c r="G16" s="24" t="inlineStr"/>
    </row>
    <row r="17" ht="24" customHeight="1">
      <c r="A17" s="61" t="inlineStr">
        <is>
          <t>前</t>
        </is>
      </c>
      <c r="B17" s="22" t="inlineStr">
        <is>
          <t>1 人の GUI でトークン取得と業務 API が緑。図に秘密が無い</t>
        </is>
      </c>
      <c r="C17" s="22" t="inlineStr">
        <is>
          <t>35 の手順 32 から 35</t>
        </is>
      </c>
      <c r="D17" s="34" t="inlineStr"/>
      <c r="E17" s="34" t="inlineStr"/>
      <c r="F17" s="22" t="inlineStr"/>
      <c r="G17" s="22" t="inlineStr"/>
    </row>
    <row r="18" ht="24" customHeight="1">
      <c r="A18" s="62" t="inlineStr">
        <is>
          <t>前</t>
        </is>
      </c>
      <c r="B18" s="24" t="inlineStr">
        <is>
          <t>run.sh が LF</t>
        </is>
      </c>
      <c r="C18" s="24" t="inlineStr">
        <is>
          <t>file コマンド</t>
        </is>
      </c>
      <c r="D18" s="34" t="inlineStr"/>
      <c r="E18" s="34" t="inlineStr"/>
      <c r="F18" s="24" t="inlineStr"/>
      <c r="G18" s="24" t="inlineStr"/>
    </row>
    <row r="19" ht="24" customHeight="1">
      <c r="A19" s="61" t="inlineStr">
        <is>
          <t>前</t>
        </is>
      </c>
      <c r="B19" s="22" t="inlineStr">
        <is>
          <t>結果先が新しいフォルダになる</t>
        </is>
      </c>
      <c r="C19" s="22" t="inlineStr">
        <is>
          <t>run.sh の STAMP</t>
        </is>
      </c>
      <c r="D19" s="34" t="inlineStr"/>
      <c r="E19" s="34" t="inlineStr"/>
      <c r="F19" s="22" t="inlineStr"/>
      <c r="G19" s="22" t="inlineStr"/>
    </row>
    <row r="20" ht="24" customHeight="1">
      <c r="A20" s="62" t="inlineStr">
        <is>
          <t>中</t>
        </is>
      </c>
      <c r="B20" s="24" t="inlineStr">
        <is>
          <t>tmux の中で動いている</t>
        </is>
      </c>
      <c r="C20" s="24" t="inlineStr">
        <is>
          <t>デタッチしても ps に残る</t>
        </is>
      </c>
      <c r="D20" s="34" t="inlineStr"/>
      <c r="E20" s="34" t="inlineStr"/>
      <c r="F20" s="24" t="inlineStr"/>
      <c r="G20" s="24" t="inlineStr"/>
    </row>
    <row r="21" ht="24" customHeight="1">
      <c r="A21" s="61" t="inlineStr">
        <is>
          <t>中</t>
        </is>
      </c>
      <c r="B21" s="22" t="inlineStr">
        <is>
          <t>最初は 1 人で CLI が成功している</t>
        </is>
      </c>
      <c r="C21" s="22" t="inlineStr">
        <is>
          <t>Active 1、Err 0</t>
        </is>
      </c>
      <c r="D21" s="34" t="inlineStr"/>
      <c r="E21" s="34" t="inlineStr"/>
      <c r="F21" s="22" t="inlineStr"/>
      <c r="G21" s="22" t="inlineStr"/>
    </row>
    <row r="22" ht="24" customHeight="1">
      <c r="A22" s="62" t="inlineStr">
        <is>
          <t>中</t>
        </is>
      </c>
      <c r="B22" s="24" t="inlineStr">
        <is>
          <t>本番人数で Active が目標に届いた</t>
        </is>
      </c>
      <c r="C22" s="24" t="inlineStr">
        <is>
          <t>summary の Active</t>
        </is>
      </c>
      <c r="D22" s="34" t="inlineStr"/>
      <c r="E22" s="34" t="inlineStr"/>
      <c r="F22" s="24" t="inlineStr"/>
      <c r="G22" s="24" t="inlineStr"/>
    </row>
    <row r="23" ht="24" customHeight="1">
      <c r="A23" s="61" t="inlineStr">
        <is>
          <t>中</t>
        </is>
      </c>
      <c r="B23" s="22" t="inlineStr">
        <is>
          <t>Err を 30 秒ごとに見ている</t>
        </is>
      </c>
      <c r="C23" s="22" t="inlineStr">
        <is>
          <t>+ の行</t>
        </is>
      </c>
      <c r="D23" s="34" t="inlineStr"/>
      <c r="E23" s="34" t="inlineStr"/>
      <c r="F23" s="22" t="inlineStr"/>
      <c r="G23" s="22" t="inlineStr"/>
    </row>
    <row r="24" ht="24" customHeight="1">
      <c r="A24" s="62" t="inlineStr">
        <is>
          <t>中</t>
        </is>
      </c>
      <c r="B24" s="24" t="inlineStr">
        <is>
          <t>悪化やエラー増で止める基準を手元に置いている</t>
        </is>
      </c>
      <c r="C24" s="24" t="inlineStr">
        <is>
          <t>16 と 26 の基準</t>
        </is>
      </c>
      <c r="D24" s="34" t="inlineStr"/>
      <c r="E24" s="34" t="inlineStr"/>
      <c r="F24" s="24" t="inlineStr"/>
      <c r="G24" s="24" t="inlineStr"/>
    </row>
    <row r="25" ht="24" customHeight="1">
      <c r="A25" s="61" t="inlineStr">
        <is>
          <t>後</t>
        </is>
      </c>
      <c r="B25" s="22" t="inlineStr">
        <is>
          <t>最終の summary = をコピーした</t>
        </is>
      </c>
      <c r="C25" s="22" t="inlineStr">
        <is>
          <t>チケットかメモ</t>
        </is>
      </c>
      <c r="D25" s="34" t="inlineStr"/>
      <c r="E25" s="34" t="inlineStr"/>
      <c r="F25" s="22" t="inlineStr"/>
      <c r="G25" s="22" t="inlineStr"/>
    </row>
    <row r="26" ht="24" customHeight="1">
      <c r="A26" s="62" t="inlineStr">
        <is>
          <t>後</t>
        </is>
      </c>
      <c r="B26" s="24" t="inlineStr">
        <is>
          <t>jtl、log、run-conditions、html-report、statistics.json がある</t>
        </is>
      </c>
      <c r="C26" s="24" t="inlineStr">
        <is>
          <t>ls</t>
        </is>
      </c>
      <c r="D26" s="34" t="inlineStr"/>
      <c r="E26" s="34" t="inlineStr"/>
      <c r="F26" s="24" t="inlineStr"/>
      <c r="G26" s="24" t="inlineStr"/>
    </row>
    <row r="27" ht="24" customHeight="1">
      <c r="A27" s="61" t="inlineStr">
        <is>
          <t>後</t>
        </is>
      </c>
      <c r="B27" s="22" t="inlineStr">
        <is>
          <t>フォルダごと端末へ戻した</t>
        </is>
      </c>
      <c r="C27" s="22" t="inlineStr">
        <is>
          <t>22</t>
        </is>
      </c>
      <c r="D27" s="34" t="inlineStr"/>
      <c r="E27" s="34" t="inlineStr"/>
      <c r="F27" s="22" t="inlineStr"/>
      <c r="G27" s="22" t="inlineStr"/>
    </row>
    <row r="28" ht="24" customHeight="1">
      <c r="A28" s="62" t="inlineStr">
        <is>
          <t>後</t>
        </is>
      </c>
      <c r="B28" s="24" t="inlineStr">
        <is>
          <t>index.html がグラフ付きで開く</t>
        </is>
      </c>
      <c r="C28" s="24" t="inlineStr">
        <is>
          <t>ブラウザ</t>
        </is>
      </c>
      <c r="D28" s="34" t="inlineStr"/>
      <c r="E28" s="34" t="inlineStr"/>
      <c r="F28" s="24" t="inlineStr"/>
      <c r="G28" s="24" t="inlineStr"/>
    </row>
    <row r="29" ht="24" customHeight="1">
      <c r="A29" s="61" t="inlineStr">
        <is>
          <t>後</t>
        </is>
      </c>
      <c r="B29" s="22" t="inlineStr">
        <is>
          <t>26 の取引行と総合判定を入れた</t>
        </is>
      </c>
      <c r="C29" s="22" t="inlineStr">
        <is>
          <t>数式が合格または不合格</t>
        </is>
      </c>
      <c r="D29" s="34" t="inlineStr"/>
      <c r="E29" s="34" t="inlineStr"/>
      <c r="F29" s="22" t="inlineStr"/>
      <c r="G29" s="22" t="inlineStr"/>
    </row>
    <row r="30" ht="24" customHeight="1">
      <c r="A30" s="62" t="inlineStr">
        <is>
          <t>後</t>
        </is>
      </c>
      <c r="B30" s="24" t="inlineStr">
        <is>
          <t>見込みに、未測定の範囲を書いた</t>
        </is>
      </c>
      <c r="C30" s="24" t="inlineStr">
        <is>
          <t>25 の禁止例に触れていない</t>
        </is>
      </c>
      <c r="D30" s="34" t="inlineStr"/>
      <c r="E30" s="34" t="inlineStr"/>
      <c r="F30" s="24" t="inlineStr"/>
      <c r="G30" s="24" t="inlineStr"/>
    </row>
    <row r="31" ht="24" customHeight="1">
      <c r="A31" s="61" t="inlineStr">
        <is>
          <t>後</t>
        </is>
      </c>
      <c r="B31" s="22" t="inlineStr">
        <is>
          <t>図の番号と試験フォルダ名が一致する</t>
        </is>
      </c>
      <c r="C31" s="22" t="inlineStr">
        <is>
          <t>画像枠</t>
        </is>
      </c>
      <c r="D31" s="34" t="inlineStr"/>
      <c r="E31" s="34" t="inlineStr"/>
      <c r="F31" s="22" t="inlineStr"/>
      <c r="G31" s="22" t="inlineStr"/>
    </row>
    <row r="32" ht="24" customHeight="1">
      <c r="A32" s="62" t="inlineStr">
        <is>
          <t>後</t>
        </is>
      </c>
      <c r="B32" s="24" t="inlineStr">
        <is>
          <t>原本の手順書を上書きしていない</t>
        </is>
      </c>
      <c r="C32" s="24" t="inlineStr">
        <is>
          <t>提出ファイルが別名</t>
        </is>
      </c>
      <c r="D32" s="34" t="inlineStr"/>
      <c r="E32" s="34" t="inlineStr"/>
      <c r="F32" s="24" t="inlineStr"/>
      <c r="G32" s="24" t="inlineStr"/>
    </row>
  </sheetData>
  <autoFilter ref="A6:G32"/>
  <mergeCells count="5">
    <mergeCell ref="A1:G1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28"/>
  <sheetViews>
    <sheetView showGridLines="0" showZeros="1" view="normal" zoomScale="100" workbookViewId="0">
      <pane ySplit="6" topLeftCell="A7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早見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コピーするコマンド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ホスト名、人数、日時は現場の値に変える。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場面</t>
        </is>
      </c>
      <c r="B6" s="6" t="inlineStr">
        <is>
          <t>どこで</t>
        </is>
      </c>
      <c r="C6" s="6" t="inlineStr">
        <is>
          <t>コマンド</t>
        </is>
      </c>
      <c r="D6" s="6" t="inlineStr">
        <is>
          <t>成功の見え方</t>
        </is>
      </c>
      <c r="E6" s="6" t="inlineStr">
        <is>
          <t>注意</t>
        </is>
      </c>
      <c r="F6" s="6" t="inlineStr"/>
      <c r="G6" s="6" t="inlineStr"/>
    </row>
    <row r="7" ht="22" customHeight="1">
      <c r="A7" s="7" t="inlineStr">
        <is>
          <t>Java 確認</t>
        </is>
      </c>
      <c r="B7" s="7" t="inlineStr">
        <is>
          <t>端末 PowerShell</t>
        </is>
      </c>
      <c r="C7" s="7" t="inlineStr">
        <is>
          <t>java -version</t>
        </is>
      </c>
      <c r="D7" s="7" t="inlineStr">
        <is>
          <t>17 で始まる</t>
        </is>
      </c>
      <c r="E7" s="7" t="inlineStr">
        <is>
          <t>古い窓は開き直す。</t>
        </is>
      </c>
      <c r="F7" s="7" t="inlineStr"/>
      <c r="G7" s="7" t="inlineStr"/>
    </row>
    <row r="8" ht="32" customHeight="1">
      <c r="A8" s="8" t="inlineStr">
        <is>
          <t>JAVA_HOME</t>
        </is>
      </c>
      <c r="B8" s="8" t="inlineStr">
        <is>
          <t>端末 PowerShell</t>
        </is>
      </c>
      <c r="C8" s="8" t="inlineStr">
        <is>
          <t>echo $env:JAVA_HOME</t>
        </is>
      </c>
      <c r="D8" s="8" t="inlineStr">
        <is>
          <t>JDK のホーム。bin で終わらない</t>
        </is>
      </c>
      <c r="E8" s="8" t="inlineStr">
        <is>
          <t>ユーザ環境変数。</t>
        </is>
      </c>
      <c r="F8" s="8" t="inlineStr"/>
      <c r="G8" s="8" t="inlineStr"/>
    </row>
    <row r="9" ht="32" customHeight="1">
      <c r="A9" s="7" t="inlineStr">
        <is>
          <t>zip のハッシュ</t>
        </is>
      </c>
      <c r="B9" s="7" t="inlineStr">
        <is>
          <t>端末 PowerShell</t>
        </is>
      </c>
      <c r="C9" s="7" t="inlineStr">
        <is>
          <t>certutil -hashfile C:\LoadTest\dist\apache-jmeter-5.6.3.zip SHA512</t>
        </is>
      </c>
      <c r="D9" s="7" t="inlineStr">
        <is>
          <t>sha512 ファイルと一致</t>
        </is>
      </c>
      <c r="E9" s="7" t="inlineStr">
        <is>
          <t>不一致なら展開しない。</t>
        </is>
      </c>
      <c r="F9" s="7" t="inlineStr"/>
      <c r="G9" s="7" t="inlineStr"/>
    </row>
    <row r="10" ht="32" customHeight="1">
      <c r="A10" s="8" t="inlineStr">
        <is>
          <t>ブロック解除</t>
        </is>
      </c>
      <c r="B10" s="8" t="inlineStr">
        <is>
          <t>端末 PowerShell</t>
        </is>
      </c>
      <c r="C10" s="8" t="inlineStr">
        <is>
          <t>Unblock-File -Path C:\LoadTest\dist\apache-jmeter-5.6.3.zip</t>
        </is>
      </c>
      <c r="D10" s="8" t="inlineStr">
        <is>
          <t>エラーが出ない</t>
        </is>
      </c>
      <c r="E10" s="8" t="inlineStr">
        <is>
          <t>展開前に行う。</t>
        </is>
      </c>
      <c r="F10" s="8" t="inlineStr"/>
      <c r="G10" s="8" t="inlineStr"/>
    </row>
    <row r="11" ht="22" customHeight="1">
      <c r="A11" s="7" t="inlineStr">
        <is>
          <t>バージョン</t>
        </is>
      </c>
      <c r="B11" s="7" t="inlineStr">
        <is>
          <t>端末 cmd</t>
        </is>
      </c>
      <c r="C11" s="7" t="inlineStr">
        <is>
          <t>C:\Tools\apache-jmeter-5.6.3\bin\jmeter.bat -v</t>
        </is>
      </c>
      <c r="D11" s="7" t="inlineStr">
        <is>
          <t>5.6.3 と出て戻る</t>
        </is>
      </c>
      <c r="E11" s="7" t="inlineStr">
        <is>
          <t>GUI は開かない。</t>
        </is>
      </c>
      <c r="F11" s="7" t="inlineStr"/>
      <c r="G11" s="7" t="inlineStr"/>
    </row>
    <row r="12" ht="22" customHeight="1">
      <c r="A12" s="8" t="inlineStr">
        <is>
          <t>バージョン</t>
        </is>
      </c>
      <c r="B12" s="8" t="inlineStr">
        <is>
          <t>Linux</t>
        </is>
      </c>
      <c r="C12" s="8" t="inlineStr">
        <is>
          <t>/opt/jmeter/apache-jmeter-5.6.3/bin/jmeter -v</t>
        </is>
      </c>
      <c r="D12" s="8" t="inlineStr">
        <is>
          <t>5.6.3</t>
        </is>
      </c>
      <c r="E12" s="8" t="inlineStr">
        <is>
          <t>引数無しは GUI を試しに行く。</t>
        </is>
      </c>
      <c r="F12" s="8" t="inlineStr"/>
      <c r="G12" s="8" t="inlineStr"/>
    </row>
    <row r="13" ht="32" customHeight="1">
      <c r="A13" s="7" t="inlineStr">
        <is>
          <t>ディレクトリ</t>
        </is>
      </c>
      <c r="B13" s="7" t="inlineStr">
        <is>
          <t>Linux</t>
        </is>
      </c>
      <c r="C13" s="7" t="inlineStr">
        <is>
          <t>mkdir -p /opt/jmeter/plans/order-search /opt/jmeter/results</t>
        </is>
      </c>
      <c r="D13" s="7" t="inlineStr">
        <is>
          <t>ls で見える</t>
        </is>
      </c>
      <c r="E13" s="7" t="inlineStr">
        <is>
          <t>実行ユーザで作る。</t>
        </is>
      </c>
      <c r="F13" s="7" t="inlineStr"/>
      <c r="G13" s="7" t="inlineStr"/>
    </row>
    <row r="14" ht="44" customHeight="1">
      <c r="A14" s="8" t="inlineStr">
        <is>
          <t>転送</t>
        </is>
      </c>
      <c r="B14" s="8" t="inlineStr">
        <is>
          <t>端末 PowerShell</t>
        </is>
      </c>
      <c r="C14" s="8" t="inlineStr">
        <is>
          <t>scp C:\LoadTest\scenarios\order-search\* loadtest@jmeter-runner.example.internal:/opt/jmeter/plans/order-search/</t>
        </is>
      </c>
      <c r="D14" s="8" t="inlineStr">
        <is>
          <t>プロンプトが戻る</t>
        </is>
      </c>
      <c r="E14" s="8" t="inlineStr">
        <is>
          <t>results は送らない。</t>
        </is>
      </c>
      <c r="F14" s="8" t="inlineStr"/>
      <c r="G14" s="8" t="inlineStr"/>
    </row>
    <row r="15" ht="22" customHeight="1">
      <c r="A15" s="7" t="inlineStr">
        <is>
          <t>改行</t>
        </is>
      </c>
      <c r="B15" s="7" t="inlineStr">
        <is>
          <t>Linux</t>
        </is>
      </c>
      <c r="C15" s="7" t="inlineStr">
        <is>
          <t>file /opt/jmeter/plans/order-search/run.sh</t>
        </is>
      </c>
      <c r="D15" s="7" t="inlineStr">
        <is>
          <t>CRLF ではない</t>
        </is>
      </c>
      <c r="E15" s="7" t="inlineStr">
        <is>
          <t>CRLF なら sed -i 's/\r$//' run.sh</t>
        </is>
      </c>
      <c r="F15" s="7" t="inlineStr"/>
      <c r="G15" s="7" t="inlineStr"/>
    </row>
    <row r="16" ht="32" customHeight="1">
      <c r="A16" s="8" t="inlineStr">
        <is>
          <t>tmux</t>
        </is>
      </c>
      <c r="B16" s="8" t="inlineStr">
        <is>
          <t>Linux</t>
        </is>
      </c>
      <c r="C16" s="8" t="inlineStr">
        <is>
          <t>tmux new -s loadtest</t>
        </is>
      </c>
      <c r="D16" s="8" t="inlineStr">
        <is>
          <t>セッションが開く</t>
        </is>
      </c>
      <c r="E16" s="8" t="inlineStr">
        <is>
          <t>離脱は Ctrl+b のあと d。復帰は tmux attach -t loadtest</t>
        </is>
      </c>
      <c r="F16" s="8" t="inlineStr"/>
      <c r="G16" s="8" t="inlineStr"/>
    </row>
    <row r="17" ht="22" customHeight="1">
      <c r="A17" s="7" t="inlineStr">
        <is>
          <t>1 人で実行</t>
        </is>
      </c>
      <c r="B17" s="7" t="inlineStr">
        <is>
          <t>Linux</t>
        </is>
      </c>
      <c r="C17" s="7" t="inlineStr">
        <is>
          <t>bash /opt/jmeter/plans/order-search/run-1user.sh</t>
        </is>
      </c>
      <c r="D17" s="7" t="inlineStr">
        <is>
          <t>summary の Active が 1</t>
        </is>
      </c>
      <c r="E17" s="7" t="inlineStr">
        <is>
          <t>本番の run.sh と間違えない。</t>
        </is>
      </c>
      <c r="F17" s="7" t="inlineStr"/>
      <c r="G17" s="7" t="inlineStr"/>
    </row>
    <row r="18" ht="32" customHeight="1">
      <c r="A18" s="8" t="inlineStr">
        <is>
          <t>本番実行</t>
        </is>
      </c>
      <c r="B18" s="8" t="inlineStr">
        <is>
          <t>Linux</t>
        </is>
      </c>
      <c r="C18" s="8" t="inlineStr">
        <is>
          <t>bash /opt/jmeter/plans/order-search/run.sh</t>
        </is>
      </c>
      <c r="D18" s="8" t="inlineStr">
        <is>
          <t>結果ディレクトリのパスが表示される</t>
        </is>
      </c>
      <c r="E18" s="8" t="inlineStr">
        <is>
          <t>html-report は事前に作らない。</t>
        </is>
      </c>
      <c r="F18" s="8" t="inlineStr"/>
      <c r="G18" s="8" t="inlineStr"/>
    </row>
    <row r="19" ht="22" customHeight="1">
      <c r="A19" s="7" t="inlineStr">
        <is>
          <t>穏やかに停止</t>
        </is>
      </c>
      <c r="B19" s="7" t="inlineStr">
        <is>
          <t>Linux 別窓</t>
        </is>
      </c>
      <c r="C19" s="7" t="inlineStr">
        <is>
          <t>/opt/jmeter/apache-jmeter-5.6.3/bin/shutdown.sh</t>
        </is>
      </c>
      <c r="D19" s="7" t="inlineStr">
        <is>
          <t>最終 summary が出る</t>
        </is>
      </c>
      <c r="E19" s="7" t="inlineStr">
        <is>
          <t>実行中の 1 件は終わる。</t>
        </is>
      </c>
      <c r="F19" s="7" t="inlineStr"/>
      <c r="G19" s="7" t="inlineStr"/>
    </row>
    <row r="20" ht="22" customHeight="1">
      <c r="A20" s="8" t="inlineStr">
        <is>
          <t>即時停止</t>
        </is>
      </c>
      <c r="B20" s="8" t="inlineStr">
        <is>
          <t>Linux 別窓</t>
        </is>
      </c>
      <c r="C20" s="8" t="inlineStr">
        <is>
          <t>/opt/jmeter/apache-jmeter-5.6.3/bin/stoptest.sh</t>
        </is>
      </c>
      <c r="D20" s="8" t="inlineStr">
        <is>
          <t>プロセスが終わる</t>
        </is>
      </c>
      <c r="E20" s="8" t="inlineStr">
        <is>
          <t>中断と記録する。</t>
        </is>
      </c>
      <c r="F20" s="8" t="inlineStr"/>
      <c r="G20" s="8" t="inlineStr"/>
    </row>
    <row r="21" ht="32" customHeight="1">
      <c r="A21" s="7" t="inlineStr">
        <is>
          <t>行数</t>
        </is>
      </c>
      <c r="B21" s="7" t="inlineStr">
        <is>
          <t>Linux</t>
        </is>
      </c>
      <c r="C21" s="7" t="inlineStr">
        <is>
          <t>wc -l /opt/jmeter/results/order-search_日時/result.jtl</t>
        </is>
      </c>
      <c r="D21" s="7" t="inlineStr">
        <is>
          <t>2 行以上</t>
        </is>
      </c>
      <c r="E21" s="7" t="inlineStr">
        <is>
          <t>cat しない。</t>
        </is>
      </c>
      <c r="F21" s="7" t="inlineStr"/>
      <c r="G21" s="7" t="inlineStr"/>
    </row>
    <row r="22" ht="44" customHeight="1">
      <c r="A22" s="8" t="inlineStr">
        <is>
          <t>HTML だけ作り直す</t>
        </is>
      </c>
      <c r="B22" s="8" t="inlineStr">
        <is>
          <t>Linux</t>
        </is>
      </c>
      <c r="C22" s="8" t="inlineStr">
        <is>
          <t>/opt/jmeter/apache-jmeter-5.6.3/bin/jmeter -g /opt/jmeter/results/order-search_日時/result.jtl -o /opt/jmeter/results/order-search_日時/html-report2</t>
        </is>
      </c>
      <c r="D22" s="8" t="inlineStr">
        <is>
          <t>index.html ができる</t>
        </is>
      </c>
      <c r="E22" s="8" t="inlineStr">
        <is>
          <t>出力先は空または未作成。</t>
        </is>
      </c>
      <c r="F22" s="8" t="inlineStr"/>
      <c r="G22" s="8" t="inlineStr"/>
    </row>
    <row r="23" ht="44" customHeight="1">
      <c r="A23" s="7" t="inlineStr">
        <is>
          <t>回収</t>
        </is>
      </c>
      <c r="B23" s="7" t="inlineStr">
        <is>
          <t>端末 PowerShell</t>
        </is>
      </c>
      <c r="C23" s="7" t="inlineStr">
        <is>
          <t>scp -r loadtest@jmeter-runner.example.internal:/opt/jmeter/results/order-search_日時 C:\LoadTest\results\</t>
        </is>
      </c>
      <c r="D23" s="7" t="inlineStr">
        <is>
          <t>html-report まで届く</t>
        </is>
      </c>
      <c r="E23" s="7" t="inlineStr">
        <is>
          <t>途中失敗は取り直す。</t>
        </is>
      </c>
      <c r="F23" s="7" t="inlineStr"/>
      <c r="G23" s="7" t="inlineStr"/>
    </row>
    <row r="24" ht="56" customHeight="1">
      <c r="A24" s="8" t="inlineStr">
        <is>
          <t>GUI をプロパティ付きで開く</t>
        </is>
      </c>
      <c r="B24" s="8" t="inlineStr">
        <is>
          <t>端末 PowerShell</t>
        </is>
      </c>
      <c r="C24" s="8" t="inlineStr">
        <is>
          <t>C:\Tools\apache-jmeter-5.6.3\bin\jmeter.bat -q C:\LoadTest\scenarios\api-gateway\load.properties -q C:\LoadTest\scenarios\api-gateway\secrets.properties</t>
        </is>
      </c>
      <c r="D24" s="8" t="inlineStr">
        <is>
          <t>窓が開く</t>
        </is>
      </c>
      <c r="E24" s="8" t="inlineStr">
        <is>
          <t>秘密を -J でコマンドに直書きしない。</t>
        </is>
      </c>
      <c r="F24" s="8" t="inlineStr"/>
      <c r="G24" s="8" t="inlineStr"/>
    </row>
    <row r="25" ht="44" customHeight="1">
      <c r="A25" s="7" t="inlineStr">
        <is>
          <t>公開例の Base64</t>
        </is>
      </c>
      <c r="B25" s="7" t="inlineStr">
        <is>
          <t>端末 PowerShell</t>
        </is>
      </c>
      <c r="C25" s="7" t="inlineStr">
        <is>
          <t>$raw = "djc98u3jiedmi283eu928:abcdef01234567890"; [Convert]::ToBase64String([Text.Encoding]::UTF8.GetBytes($raw))</t>
        </is>
      </c>
      <c r="D25" s="7" t="inlineStr">
        <is>
          <t>ZGpjOTh1M2ppZWRtaTI4M2V1OTI4OmFiY2RlZjAxMjM0NTY3ODkw</t>
        </is>
      </c>
      <c r="E25" s="7" t="inlineStr">
        <is>
          <t>実秘密はこのコマンドに貼らない。36。</t>
        </is>
      </c>
      <c r="F25" s="7" t="inlineStr"/>
      <c r="G25" s="7" t="inlineStr"/>
    </row>
    <row r="26" ht="44" customHeight="1">
      <c r="A26" s="8" t="inlineStr">
        <is>
          <t>Cognito の CLI</t>
        </is>
      </c>
      <c r="B26" s="8" t="inlineStr">
        <is>
          <t>Linux</t>
        </is>
      </c>
      <c r="C26" s="8" t="inlineStr">
        <is>
          <t>bash /opt/jmeter/plans/api-gateway/run-api.sh</t>
        </is>
      </c>
      <c r="D26" s="8" t="inlineStr">
        <is>
          <t>結果ディレクトリのパス。summary の Active が -Jthreads と一致</t>
        </is>
      </c>
      <c r="E26" s="8" t="inlineStr">
        <is>
          <t>先に threads=1 のコピーで流す。35。</t>
        </is>
      </c>
      <c r="F26" s="8" t="inlineStr"/>
      <c r="G26" s="8" t="inlineStr"/>
    </row>
    <row r="27" ht="32" customHeight="1">
      <c r="A27" s="7" t="inlineStr">
        <is>
          <t>秘密ファイルの権限</t>
        </is>
      </c>
      <c r="B27" s="7" t="inlineStr">
        <is>
          <t>Linux</t>
        </is>
      </c>
      <c r="C27" s="7" t="inlineStr">
        <is>
          <t>chmod 600 /opt/jmeter/plans/api-gateway/secrets.properties</t>
        </is>
      </c>
      <c r="D27" s="7" t="inlineStr">
        <is>
          <t>ls -l で 600</t>
        </is>
      </c>
      <c r="E27" s="7" t="inlineStr">
        <is>
          <t>中身を cat して画面に残さない。</t>
        </is>
      </c>
      <c r="F27" s="7" t="inlineStr"/>
      <c r="G27" s="7" t="inlineStr"/>
    </row>
    <row r="28" ht="22" customHeight="1">
      <c r="A28" s="8" t="inlineStr">
        <is>
          <t>ファイル数</t>
        </is>
      </c>
      <c r="B28" s="8" t="inlineStr">
        <is>
          <t>Linux</t>
        </is>
      </c>
      <c r="C28" s="8" t="inlineStr">
        <is>
          <t>ulimit -n</t>
        </is>
      </c>
      <c r="D28" s="8" t="inlineStr">
        <is>
          <t>スレッド数より十分大きい</t>
        </is>
      </c>
      <c r="E28" s="8" t="inlineStr">
        <is>
          <t>小さいときは試験を始めない。</t>
        </is>
      </c>
      <c r="F28" s="8" t="inlineStr"/>
      <c r="G28" s="8" t="inlineStr"/>
    </row>
  </sheetData>
  <autoFilter ref="A6:G28"/>
  <mergeCells count="5">
    <mergeCell ref="A1:G1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G48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90" customWidth="1" min="2" max="2"/>
    <col width="28" customWidth="1" min="3" max="3"/>
    <col width="22" customWidth="1" min="4" max="4"/>
    <col width="18" customWidth="1" min="5" max="5"/>
    <col width="16" customWidth="1" min="6" max="6"/>
    <col width="14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写し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設定ファイルの全文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このシートからコピーする。08、17、18、19 はここを参照する。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bin/setenv.bat（端末）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25" t="inlineStr">
        <is>
          <t>jmeter.bat と同じフォルダ。拡張子が .bat であること。</t>
        </is>
      </c>
      <c r="B7" s="25" t="n"/>
      <c r="C7" s="25" t="n"/>
      <c r="D7" s="25" t="n"/>
      <c r="E7" s="25" t="n"/>
      <c r="F7" s="25" t="n"/>
      <c r="G7" s="25" t="n"/>
    </row>
    <row r="8" ht="84" customHeight="1">
      <c r="A8" s="7" t="inlineStr">
        <is>
          <t xml:space="preserve">rem bin\setenv.bat
rem jmeter.bat が自動で読む。jmeter.bat 本体は編集しない。
set HEAP=-Xms1g -Xmx2g -XX:MaxMetaspaceSize=256m
set JMETER_LANGUAGE=-Duser.language=ja -Duser.region=JP
</t>
        </is>
      </c>
      <c r="B8" s="7" t="n"/>
      <c r="C8" s="7" t="n"/>
      <c r="D8" s="7" t="n"/>
      <c r="E8" s="7" t="n"/>
      <c r="F8" s="7" t="n"/>
      <c r="G8" s="7" t="n"/>
    </row>
    <row r="10" ht="24" customHeight="1">
      <c r="A10" s="5" t="inlineStr">
        <is>
          <t>bin/setenv.sh（Linux）</t>
        </is>
      </c>
      <c r="B10" s="5" t="n"/>
      <c r="C10" s="5" t="n"/>
      <c r="D10" s="5" t="n"/>
      <c r="E10" s="5" t="n"/>
      <c r="F10" s="5" t="n"/>
      <c r="G10" s="5" t="n"/>
    </row>
    <row r="11" ht="28" customHeight="1">
      <c r="A11" s="25" t="inlineStr">
        <is>
          <t>改行 LF。chmod は jmeter 本体側で足りる。このファイルは source される。</t>
        </is>
      </c>
      <c r="B11" s="25" t="n"/>
      <c r="C11" s="25" t="n"/>
      <c r="D11" s="25" t="n"/>
      <c r="E11" s="25" t="n"/>
      <c r="F11" s="25" t="n"/>
      <c r="G11" s="25" t="n"/>
    </row>
    <row r="12" ht="84" customHeight="1">
      <c r="A12" s="7" t="inlineStr">
        <is>
          <t xml:space="preserve"># bin/setenv.sh
# 改行は LF。所有者は JMeter を実行するユーザ。
export HEAP="-Xms1g -Xmx2g -XX:MaxMetaspaceSize=256m"
export TZ=Asia/Tokyo
</t>
        </is>
      </c>
      <c r="B12" s="7" t="n"/>
      <c r="C12" s="7" t="n"/>
      <c r="D12" s="7" t="n"/>
      <c r="E12" s="7" t="n"/>
      <c r="F12" s="7" t="n"/>
      <c r="G12" s="7" t="n"/>
    </row>
    <row r="14" ht="24" customHeight="1">
      <c r="A14" s="5" t="inlineStr">
        <is>
          <t>bin/user.properties の末尾（端末と Linux の両方）</t>
        </is>
      </c>
      <c r="B14" s="5" t="n"/>
      <c r="C14" s="5" t="n"/>
      <c r="D14" s="5" t="n"/>
      <c r="E14" s="5" t="n"/>
      <c r="F14" s="5" t="n"/>
      <c r="G14" s="5" t="n"/>
    </row>
    <row r="15" ht="28" customHeight="1">
      <c r="A15" s="25" t="inlineStr">
        <is>
          <t>既存のコメントは消さない。timestamp と date_format は同じ文字列のまま対で置く。</t>
        </is>
      </c>
      <c r="B15" s="25" t="n"/>
      <c r="C15" s="25" t="n"/>
      <c r="D15" s="25" t="n"/>
      <c r="E15" s="25" t="n"/>
      <c r="F15" s="25" t="n"/>
      <c r="G15" s="25" t="n"/>
    </row>
    <row r="16" ht="350" customHeight="1">
      <c r="A16" s="7" t="inlineStr">
        <is>
          <t xml:space="preserve"># --- 現場追記。既存行は消さず、ファイルの末尾に足す。---
# 結果を CSV にし、HTML ダッシュボードの日時解釈と揃える。
jmeter.save.saveservice.output_format=csv
jmeter.save.saveservice.print_field_names=true
jmeter.save.saveservice.timestamp_format=yyyy/MM/dd HH:mm:ss.SSS
jmeter.reportgenerator.date_format=yyyy/MM/dd HH:mm:ss.SSS
jmeter.save.saveservice.connect_time=true
jmeter.save.saveservice.sent_bytes=true
jmeter.save.saveservice.thread_counts=true
jmeter.save.saveservice.latency=true
jmeter.save.saveservice.assertion_results_failure_message=true
jmeter.save.saveservice.response_data=false
jmeter.save.saveservice.samplerData=false
jmeter.save.saveservice.responseHeaders=false
jmeter.save.saveservice.requestHeaders=false
jmeter.save.saveservice.url=true
summariser.name=summary
summariser.interval=30
summariser.out=true
summariser.log=true
jmeter.reportgenerator.apdex_satisfied_threshold=500
jmeter.reportgenerator.apdex_tolerated_threshold=1500
jmeter.reportgenerator.report_title=負荷試験
</t>
        </is>
      </c>
      <c r="B16" s="7" t="n"/>
      <c r="C16" s="7" t="n"/>
      <c r="D16" s="7" t="n"/>
      <c r="E16" s="7" t="n"/>
      <c r="F16" s="7" t="n"/>
      <c r="G16" s="7" t="n"/>
    </row>
    <row r="18" ht="24" customHeight="1">
      <c r="A18" s="5" t="inlineStr">
        <is>
          <t>plans/order-search/load.properties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25" t="inlineStr">
        <is>
          <t>ホスト名を現場の値に変える。スレッド数はここに書かず -J で渡す。</t>
        </is>
      </c>
      <c r="B19" s="25" t="n"/>
      <c r="C19" s="25" t="n"/>
      <c r="D19" s="25" t="n"/>
      <c r="E19" s="25" t="n"/>
      <c r="F19" s="25" t="n"/>
      <c r="G19" s="25" t="n"/>
    </row>
    <row r="20" ht="112" customHeight="1">
      <c r="A20" s="7" t="inlineStr">
        <is>
          <t xml:space="preserve"># plans/order-search/load.properties
# このシナリオだけの上書き。スレッド数は実行コマンドの -J で渡す。
jmeter.reportgenerator.report_title=order-search
search.host=app.example.internal
search.port=443
search.protocol=https
</t>
        </is>
      </c>
      <c r="B20" s="7" t="n"/>
      <c r="C20" s="7" t="n"/>
      <c r="D20" s="7" t="n"/>
      <c r="E20" s="7" t="n"/>
      <c r="F20" s="7" t="n"/>
      <c r="G20" s="7" t="n"/>
    </row>
    <row r="22" ht="24" customHeight="1">
      <c r="A22" s="5" t="inlineStr">
        <is>
          <t>plans/order-search/run.sh</t>
        </is>
      </c>
      <c r="B22" s="5" t="n"/>
      <c r="C22" s="5" t="n"/>
      <c r="D22" s="5" t="n"/>
      <c r="E22" s="5" t="n"/>
      <c r="F22" s="5" t="n"/>
      <c r="G22" s="5" t="n"/>
    </row>
    <row r="23" ht="28" customHeight="1">
      <c r="A23" s="25" t="inlineStr">
        <is>
          <t>改行 LF。threads、ramp、duration の 3 つは、ファイル内の -J と run-conditions.txt の両方を同じ値にする。</t>
        </is>
      </c>
      <c r="B23" s="25" t="n"/>
      <c r="C23" s="25" t="n"/>
      <c r="D23" s="25" t="n"/>
      <c r="E23" s="25" t="n"/>
      <c r="F23" s="25" t="n"/>
      <c r="G23" s="25" t="n"/>
    </row>
    <row r="24" ht="350" customHeight="1">
      <c r="A24" s="7" t="inlineStr">
        <is>
          <t>#!/bin/bash
# 1 回の試験につき 1 回実行する。結果ディレクトリは毎回新規。
set -euo pipefail
JMETER_HOME=/opt/jmeter/apache-jmeter-5.6.3
PLAN=/opt/jmeter/plans/order-search/order-search.jmx
PROP=/opt/jmeter/plans/order-search/load.properties
STAMP=$(date +%Y%m%d_%H%M%S)
OUT=/opt/jmeter/results/order-search_${STAMP}
mkdir -p "$OUT"
cat &gt; "$OUT/run-conditions.txt" &lt;&lt;EOF
plan=$PLAN
threads=50
ramp=60
duration=600
stamp=$STAMP
hostname=$(hostname)
date=$(date '+%Y-%m-%d %H:%M:%S %Z')
EOF
# html-report は作らない。-o は「まだ無いディレクトリ」が条件。
"$JMETER_HOME/bin/jmeter" \
  -n \
  -t "$PLAN" \
  -l "$OUT/result.jtl" \
  -j "$OUT/jmeter.log" \</t>
        </is>
      </c>
      <c r="B24" s="7" t="n"/>
      <c r="C24" s="7" t="n"/>
      <c r="D24" s="7" t="n"/>
      <c r="E24" s="7" t="n"/>
      <c r="F24" s="7" t="n"/>
      <c r="G24" s="7" t="n"/>
    </row>
    <row r="25" ht="126" customHeight="1">
      <c r="A25" s="7" t="inlineStr">
        <is>
          <t xml:space="preserve">  -q "$PROP" \
  -Jthreads=50 \
  -Jramp=60 \
  -Jduration=600 \
  -e \
  -o "$OUT/html-report"
echo "結果ディレクトリ=$OUT"
</t>
        </is>
      </c>
      <c r="B25" s="7" t="n"/>
      <c r="C25" s="7" t="n"/>
      <c r="D25" s="7" t="n"/>
      <c r="E25" s="7" t="n"/>
      <c r="F25" s="7" t="n"/>
      <c r="G25" s="7" t="n"/>
    </row>
    <row r="27" ht="24" customHeight="1">
      <c r="A27" s="5" t="inlineStr">
        <is>
          <t>plans/api-gateway/load.properties</t>
        </is>
      </c>
      <c r="B27" s="5" t="n"/>
      <c r="C27" s="5" t="n"/>
      <c r="D27" s="5" t="n"/>
      <c r="E27" s="5" t="n"/>
      <c r="F27" s="5" t="n"/>
      <c r="G27" s="5" t="n"/>
    </row>
    <row r="28" ht="28" customHeight="1">
      <c r="A28" s="25" t="inlineStr">
        <is>
          <t>Cognito と API Gateway のホスト。秘密は書かない。35 の手順で使う。</t>
        </is>
      </c>
      <c r="B28" s="25" t="n"/>
      <c r="C28" s="25" t="n"/>
      <c r="D28" s="25" t="n"/>
      <c r="E28" s="25" t="n"/>
      <c r="F28" s="25" t="n"/>
      <c r="G28" s="25" t="n"/>
    </row>
    <row r="29" ht="112" customHeight="1">
      <c r="A29" s="7" t="inlineStr">
        <is>
          <t xml:space="preserve"># plans/api-gateway/load.properties
# 秘密は書かない。secrets.properties とキーを重ねない。
cognito.host=example.auth.ap-northeast-1.amazoncognito.com
api.host=abc123def.execute-api.ap-northeast-1.amazonaws.com
api.stage=prod
scope=resource-server/read
</t>
        </is>
      </c>
      <c r="B29" s="7" t="n"/>
      <c r="C29" s="7" t="n"/>
      <c r="D29" s="7" t="n"/>
      <c r="E29" s="7" t="n"/>
      <c r="F29" s="7" t="n"/>
      <c r="G29" s="7" t="n"/>
    </row>
    <row r="31" ht="24" customHeight="1">
      <c r="A31" s="5" t="inlineStr">
        <is>
          <t>plans/api-gateway/secrets.properties</t>
        </is>
      </c>
      <c r="B31" s="5" t="n"/>
      <c r="C31" s="5" t="n"/>
      <c r="D31" s="5" t="n"/>
      <c r="E31" s="5" t="n"/>
      <c r="F31" s="5" t="n"/>
      <c r="G31" s="5" t="n"/>
    </row>
    <row r="32" ht="28" customHeight="1">
      <c r="A32" s="25" t="inlineStr">
        <is>
          <t>client_id、client_secret、api_key。UTF-8 の BOM 無し。値は引用符で囲まない。chmod 600。レポートに貼らない。</t>
        </is>
      </c>
      <c r="B32" s="25" t="n"/>
      <c r="C32" s="25" t="n"/>
      <c r="D32" s="25" t="n"/>
      <c r="E32" s="25" t="n"/>
      <c r="F32" s="25" t="n"/>
      <c r="G32" s="25" t="n"/>
    </row>
    <row r="33" ht="126" customHeight="1">
      <c r="A33" s="7" t="inlineStr">
        <is>
          <t xml:space="preserve"># secrets.properties
# 秘密。git、メール、Excel、スクリーンショット、run-conditions.txt に入れない。
# 値は引用符で囲まない。引用符も値の一部になる。
# バックスラッシュが秘密に含まれるときだけ、\\ と二重にする。
client_id=置き換える
client_secret=置き換える
api_key=置き換える
</t>
        </is>
      </c>
      <c r="B33" s="7" t="n"/>
      <c r="C33" s="7" t="n"/>
      <c r="D33" s="7" t="n"/>
      <c r="E33" s="7" t="n"/>
      <c r="F33" s="7" t="n"/>
      <c r="G33" s="7" t="n"/>
    </row>
    <row r="35" ht="24" customHeight="1">
      <c r="A35" s="5" t="inlineStr">
        <is>
          <t>PP_basicを作る（Groovy）</t>
        </is>
      </c>
      <c r="B35" s="5" t="n"/>
      <c r="C35" s="5" t="n"/>
      <c r="D35" s="5" t="n"/>
      <c r="E35" s="5" t="n"/>
      <c r="F35" s="5" t="n"/>
      <c r="G35" s="5" t="n"/>
    </row>
    <row r="36" ht="28" customHeight="1">
      <c r="A36" s="25" t="inlineStr">
        <is>
          <t>HTTP_POST_cognito_token の子。Language は groovy。java.util.Base64。値はログに出さない。</t>
        </is>
      </c>
      <c r="B36" s="25" t="n"/>
      <c r="C36" s="25" t="n"/>
      <c r="D36" s="25" t="n"/>
      <c r="E36" s="25" t="n"/>
      <c r="F36" s="25" t="n"/>
      <c r="G36" s="25" t="n"/>
    </row>
    <row r="37" ht="210" customHeight="1">
      <c r="A37" s="7" t="inlineStr">
        <is>
          <t xml:space="preserve">// 名前: PP_basicを作る
// Language: groovy
// Cache compiled script if available: オン
// 値そのものはログに出さない。長さだけ出す。
String id = props.get("client_id")
String secret = props.get("client_secret")
if (id == null || secret == null || id.trim().isEmpty() || secret.trim().isEmpty()) {
    throw new IllegalStateException("client_id または client_secret が無い。jmeter.bat を -q secrets.properties 付きで起動し直す。")
}
String raw = id + ":" + secret
String b64 = java.util.Base64.getEncoder().encodeToString(raw.getBytes("UTF-8"))
vars.put("basic_credentials", b64)
log.info("basic_credentials length=" + b64.length())
</t>
        </is>
      </c>
      <c r="B37" s="7" t="n"/>
      <c r="C37" s="7" t="n"/>
      <c r="D37" s="7" t="n"/>
      <c r="E37" s="7" t="n"/>
      <c r="F37" s="7" t="n"/>
      <c r="G37" s="7" t="n"/>
    </row>
    <row r="39" ht="24" customHeight="1">
      <c r="A39" s="5" t="inlineStr">
        <is>
          <t>PP_トークンを全体へ（Groovy）</t>
        </is>
      </c>
      <c r="B39" s="5" t="n"/>
      <c r="C39" s="5" t="n"/>
      <c r="D39" s="5" t="n"/>
      <c r="E39" s="5" t="n"/>
      <c r="F39" s="5" t="n"/>
      <c r="G39" s="5" t="n"/>
    </row>
    <row r="40" ht="28" customHeight="1">
      <c r="A40" s="25" t="inlineStr">
        <is>
          <t>JSON Extractor より下。変数 access_token をプロパティへコピーする。</t>
        </is>
      </c>
      <c r="B40" s="25" t="n"/>
      <c r="C40" s="25" t="n"/>
      <c r="D40" s="25" t="n"/>
      <c r="E40" s="25" t="n"/>
      <c r="F40" s="25" t="n"/>
      <c r="G40" s="25" t="n"/>
    </row>
    <row r="41" ht="168" customHeight="1">
      <c r="A41" s="7" t="inlineStr">
        <is>
          <t xml:space="preserve">// 名前: PP_トークンを全体へ
// Language: groovy
// この要素は JSON Extractor より下に置く。上にあると、まだ変数が無い。
String token = vars.get("access_token")
if (token == null || "TOKEN_NOT_FOUND".equals(token) || token.trim().isEmpty()) {
    throw new IllegalStateException("access_token が取れていない。応答と JSON Path を見る。")
}
props.put("access_token", token)
String expires = vars.get("expires_in")
log.info("access_token length=" + token.length() + " expires_in=" + expires)
</t>
        </is>
      </c>
      <c r="B41" s="7" t="n"/>
      <c r="C41" s="7" t="n"/>
      <c r="D41" s="7" t="n"/>
      <c r="E41" s="7" t="n"/>
      <c r="F41" s="7" t="n"/>
      <c r="G41" s="7" t="n"/>
    </row>
    <row r="43" ht="24" customHeight="1">
      <c r="A43" s="5" t="inlineStr">
        <is>
          <t>plans/api-gateway/run-api.sh</t>
        </is>
      </c>
      <c r="B43" s="5" t="n"/>
      <c r="C43" s="5" t="n"/>
      <c r="D43" s="5" t="n"/>
      <c r="E43" s="5" t="n"/>
      <c r="F43" s="5" t="n"/>
      <c r="G43" s="5" t="n"/>
    </row>
    <row r="44" ht="28" customHeight="1">
      <c r="A44" s="25" t="inlineStr">
        <is>
          <t>改行 LF。-q は load.properties と secrets.properties の 2 回。-t が api-gateway.jmx。</t>
        </is>
      </c>
      <c r="B44" s="25" t="n"/>
      <c r="C44" s="25" t="n"/>
      <c r="D44" s="25" t="n"/>
      <c r="E44" s="25" t="n"/>
      <c r="F44" s="25" t="n"/>
      <c r="G44" s="25" t="n"/>
    </row>
    <row r="45" ht="350" customHeight="1">
      <c r="A45" s="7" t="inlineStr">
        <is>
          <t>#!/bin/bash
# Cognito でトークンを 1 回取り、API Gateway を叩く。秘密の値は書かない。
set -euo pipefail
JMETER_HOME=/opt/jmeter/apache-jmeter-5.6.3
PLAN=/opt/jmeter/plans/api-gateway/api-gateway.jmx
PROP=/opt/jmeter/plans/api-gateway/load.properties
SECRET=/opt/jmeter/plans/api-gateway/secrets.properties
STAMP=$(date +%Y%m%d_%H%M%S)
OUT=/opt/jmeter/results/api-gateway_${STAMP}
mkdir -p "$OUT"
test -f "$PLAN"
test -f "$PROP"
test -f "$SECRET"
cat &gt; "$OUT/run-conditions.txt" &lt;&lt;EOF
plan=$PLAN
threads=50
ramp=60
duration=600
stamp=$STAMP
hostname=$(hostname)
date=$(date '+%Y-%m-%d %H:%M:%S %Z')
secret_file=secrets.properties
api_header=X-API-ID
cognito=setUp で 1 回</t>
        </is>
      </c>
      <c r="B45" s="7" t="n"/>
      <c r="C45" s="7" t="n"/>
      <c r="D45" s="7" t="n"/>
      <c r="E45" s="7" t="n"/>
      <c r="F45" s="7" t="n"/>
      <c r="G45" s="7" t="n"/>
    </row>
    <row r="46" ht="224" customHeight="1">
      <c r="A46" s="7" t="inlineStr">
        <is>
          <t xml:space="preserve">EOF
"$JMETER_HOME/bin/jmeter" \
  -n \
  -t "$PLAN" \
  -l "$OUT/result.jtl" \
  -j "$OUT/jmeter.log" \
  -q "$PROP" \
  -q "$SECRET" \
  -Jthreads=50 \
  -Jramp=60 \
  -Jduration=600 \
  -e \
  -o "$OUT/html-report"
echo "結果ディレクトリ=$OUT"
</t>
        </is>
      </c>
      <c r="B46" s="7" t="n"/>
      <c r="C46" s="7" t="n"/>
      <c r="D46" s="7" t="n"/>
      <c r="E46" s="7" t="n"/>
      <c r="F46" s="7" t="n"/>
      <c r="G46" s="7" t="n"/>
    </row>
    <row r="48" ht="32" customHeight="1">
      <c r="A48" s="18" t="inlineStr">
        <is>
          <t>優先順位: 同じキーは、コマンドの -J が最も強い。次が -q の load.properties。次が user.properties。jmeter.properties は配布の既定で、直接編集しない。-D は Java のシステムプロパティで、${__P} は読まない。</t>
        </is>
      </c>
      <c r="B48" s="18" t="n"/>
      <c r="C48" s="18" t="n"/>
      <c r="D48" s="18" t="n"/>
      <c r="E48" s="18" t="n"/>
      <c r="F48" s="18" t="n"/>
      <c r="G48" s="18" t="n"/>
    </row>
  </sheetData>
  <mergeCells count="38">
    <mergeCell ref="A32:G32"/>
    <mergeCell ref="A14:G14"/>
    <mergeCell ref="A8:G8"/>
    <mergeCell ref="A22:G22"/>
    <mergeCell ref="A35:G35"/>
    <mergeCell ref="A4:G4"/>
    <mergeCell ref="A20:G20"/>
    <mergeCell ref="A29:G29"/>
    <mergeCell ref="A43:G43"/>
    <mergeCell ref="A19:G19"/>
    <mergeCell ref="A10:G10"/>
    <mergeCell ref="A28:G28"/>
    <mergeCell ref="A44:G44"/>
    <mergeCell ref="A40:G40"/>
    <mergeCell ref="A31:G31"/>
    <mergeCell ref="A39:G39"/>
    <mergeCell ref="A48:G48"/>
    <mergeCell ref="A24:G24"/>
    <mergeCell ref="A15:G15"/>
    <mergeCell ref="A11:G11"/>
    <mergeCell ref="A45:G45"/>
    <mergeCell ref="A36:G36"/>
    <mergeCell ref="A1:G1"/>
    <mergeCell ref="A6:G6"/>
    <mergeCell ref="A16:G16"/>
    <mergeCell ref="A7:G7"/>
    <mergeCell ref="A25:G25"/>
    <mergeCell ref="A41:G41"/>
    <mergeCell ref="A37:G37"/>
    <mergeCell ref="A46:G46"/>
    <mergeCell ref="A18:G18"/>
    <mergeCell ref="A27:G27"/>
    <mergeCell ref="A3:G3"/>
    <mergeCell ref="A12:G12"/>
    <mergeCell ref="A2:G2"/>
    <mergeCell ref="A33:G33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G60"/>
  <sheetViews>
    <sheetView showGridLines="0" showZeros="1" view="normal" zoomScale="100" workbookViewId="0">
      <pane ySplit="6" topLeftCell="A7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台帳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差し込み枠の一覧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図を入れる場所は各シートのグレー枠。この表は、何を撮るかを失わないための控。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番号</t>
        </is>
      </c>
      <c r="B6" s="6" t="inlineStr">
        <is>
          <t>シート</t>
        </is>
      </c>
      <c r="C6" s="6" t="inlineStr">
        <is>
          <t>撮るもの</t>
        </is>
      </c>
      <c r="D6" s="6" t="inlineStr">
        <is>
          <t>撮るタイミング</t>
        </is>
      </c>
      <c r="E6" s="6" t="inlineStr">
        <is>
          <t>画角</t>
        </is>
      </c>
      <c r="F6" s="6" t="inlineStr">
        <is>
          <t>入れたか</t>
        </is>
      </c>
      <c r="G6" s="6" t="inlineStr"/>
    </row>
    <row r="7" ht="56" customHeight="1">
      <c r="A7" s="7" t="inlineStr">
        <is>
          <t>IMG-01</t>
        </is>
      </c>
      <c r="B7" s="7" t="inlineStr">
        <is>
          <t>00_表紙</t>
        </is>
      </c>
      <c r="C7" s="7" t="inlineStr">
        <is>
          <t>端末、実行サーバ、試験対象の三者の配置図</t>
        </is>
      </c>
      <c r="D7" s="7" t="inlineStr">
        <is>
          <t>手順書を自分の現場に合わせたあとに撮る。無ければ手書きの構成を写真でもよい。</t>
        </is>
      </c>
      <c r="E7" s="7" t="inlineStr">
        <is>
          <t>左に Windows 11 端末、中央に Linux の JMeter 実行サーバ、右に試験対象。矢印は jmx を送る方向と、jtl を戻す方向の 2 本。</t>
        </is>
      </c>
      <c r="F7" s="63" t="inlineStr"/>
      <c r="G7" s="22" t="inlineStr"/>
    </row>
    <row r="8" ht="32" customHeight="1">
      <c r="A8" s="8" t="inlineStr">
        <is>
          <t>IMG-02</t>
        </is>
      </c>
      <c r="B8" s="8" t="inlineStr">
        <is>
          <t>01_使い方</t>
        </is>
      </c>
      <c r="C8" s="8" t="inlineStr">
        <is>
          <t>Excel の挿入メニューで画像を選んでいるところ</t>
        </is>
      </c>
      <c r="D8" s="8" t="inlineStr">
        <is>
          <t>この手順書へ最初の図を入れる練習のとき。</t>
        </is>
      </c>
      <c r="E8" s="8" t="inlineStr">
        <is>
          <t>挿入タブと「このデバイス」が見える。個人のファイル名は写さない。</t>
        </is>
      </c>
      <c r="F8" s="63" t="inlineStr"/>
      <c r="G8" s="22" t="inlineStr"/>
    </row>
    <row r="9" ht="44" customHeight="1">
      <c r="A9" s="7" t="inlineStr">
        <is>
          <t>IMG-03</t>
        </is>
      </c>
      <c r="B9" s="7" t="inlineStr">
        <is>
          <t>02_全体の流れ</t>
        </is>
      </c>
      <c r="C9" s="7" t="inlineStr">
        <is>
          <t>端末の scenarios フォルダと、サーバの plans フォルダを並べた図</t>
        </is>
      </c>
      <c r="D9" s="7" t="inlineStr">
        <is>
          <t>転送の前後。左右に同じファイル名が並んでいる状態。</t>
        </is>
      </c>
      <c r="E9" s="7" t="inlineStr">
        <is>
          <t>jmx、csv、load.properties、run.sh の 4 つが両方にある。jtl はサーバ側の results にだけある。</t>
        </is>
      </c>
      <c r="F9" s="63" t="inlineStr"/>
      <c r="G9" s="22" t="inlineStr"/>
    </row>
    <row r="10" ht="32" customHeight="1">
      <c r="A10" s="8" t="inlineStr">
        <is>
          <t>IMG-04</t>
        </is>
      </c>
      <c r="B10" s="8" t="inlineStr">
        <is>
          <t>03_用語</t>
        </is>
      </c>
      <c r="C10" s="8" t="inlineStr">
        <is>
          <t>用語を画面上で指したメモ（任意）</t>
        </is>
      </c>
      <c r="D10" s="8" t="inlineStr">
        <is>
          <t>教育で画面を見せながら説明するとき。無くても手順は進む。</t>
        </is>
      </c>
      <c r="E10" s="8" t="inlineStr">
        <is>
          <t>スレッドグループのスレッド数、Ramp-Up、ループ回数の 3 欄が同時に見える。</t>
        </is>
      </c>
      <c r="F10" s="63" t="inlineStr"/>
      <c r="G10" s="22" t="inlineStr"/>
    </row>
    <row r="11" ht="44" customHeight="1">
      <c r="A11" s="7" t="inlineStr">
        <is>
          <t>IMG-05</t>
        </is>
      </c>
      <c r="B11" s="7" t="inlineStr">
        <is>
          <t>05_Javaの準備</t>
        </is>
      </c>
      <c r="C11" s="7" t="inlineStr">
        <is>
          <t>java -version と javac -version と echo $env:JAVA_HOME の 3 行</t>
        </is>
      </c>
      <c r="D11" s="7" t="inlineStr">
        <is>
          <t>環境変数を入れて、PowerShell を開き直した直後。</t>
        </is>
      </c>
      <c r="E11" s="7" t="inlineStr">
        <is>
          <t>バージョンが 17 であることと、JAVA_HOME が bin で終わっていないことが読める大きさ。</t>
        </is>
      </c>
      <c r="F11" s="63" t="inlineStr"/>
      <c r="G11" s="22" t="inlineStr"/>
    </row>
    <row r="12" ht="56" customHeight="1">
      <c r="A12" s="8" t="inlineStr">
        <is>
          <t>IMG-06</t>
        </is>
      </c>
      <c r="B12" s="8" t="inlineStr">
        <is>
          <t>06_JMeterの取得</t>
        </is>
      </c>
      <c r="C12" s="8" t="inlineStr">
        <is>
          <t>公式ダウンロードページの Binaries 行</t>
        </is>
      </c>
      <c r="D12" s="8" t="inlineStr">
        <is>
          <t>zip をクリックする直前。</t>
        </is>
      </c>
      <c r="E12" s="8" t="inlineStr">
        <is>
          <t>Apache JMeter 5.6.3、Binaries、zip、sha512 が 1 画面に入る。広告や別ツールのダウンロードボタンが混ざっていないこと。</t>
        </is>
      </c>
      <c r="F12" s="63" t="inlineStr"/>
      <c r="G12" s="22" t="inlineStr"/>
    </row>
    <row r="13" ht="32" customHeight="1">
      <c r="A13" s="7" t="inlineStr">
        <is>
          <t>IMG-07</t>
        </is>
      </c>
      <c r="B13" s="7" t="inlineStr">
        <is>
          <t>07_Windowsへ導入</t>
        </is>
      </c>
      <c r="C13" s="7" t="inlineStr">
        <is>
          <t>展開後の bin フォルダ</t>
        </is>
      </c>
      <c r="D13" s="7" t="inlineStr">
        <is>
          <t>jmeter.bat を押す直前。</t>
        </is>
      </c>
      <c r="E13" s="7" t="inlineStr">
        <is>
          <t>アドレスバーに C:\Tools\apache-jmeter-5.6.3\bin と、jmeter.bat が見える。</t>
        </is>
      </c>
      <c r="F13" s="63" t="inlineStr"/>
      <c r="G13" s="22" t="inlineStr"/>
    </row>
    <row r="14" ht="44" customHeight="1">
      <c r="A14" s="8" t="inlineStr">
        <is>
          <t>IMG-08</t>
        </is>
      </c>
      <c r="B14" s="8" t="inlineStr">
        <is>
          <t>07_Windowsへ導入</t>
        </is>
      </c>
      <c r="C14" s="8" t="inlineStr">
        <is>
          <t>起動直後の JMeter 全体</t>
        </is>
      </c>
      <c r="D14" s="8" t="inlineStr">
        <is>
          <t>初回起動でテスト計画だけがある状態。</t>
        </is>
      </c>
      <c r="E14" s="8" t="inlineStr">
        <is>
          <t>メニューバー、左のツリー、右のテスト計画の説明、右上の開始ボタン（緑の三角）が入る。</t>
        </is>
      </c>
      <c r="F14" s="63" t="inlineStr"/>
      <c r="G14" s="22" t="inlineStr"/>
    </row>
    <row r="15" ht="44" customHeight="1">
      <c r="A15" s="7" t="inlineStr">
        <is>
          <t>IMG-09</t>
        </is>
      </c>
      <c r="B15" s="7" t="inlineStr">
        <is>
          <t>08_初期設定</t>
        </is>
      </c>
      <c r="C15" s="7" t="inlineStr">
        <is>
          <t>setenv.bat をメモ帳で開いた全体</t>
        </is>
      </c>
      <c r="D15" s="7" t="inlineStr">
        <is>
          <t>保存する直前。</t>
        </is>
      </c>
      <c r="E15" s="7" t="inlineStr">
        <is>
          <t>HEAP と JMETER_LANGUAGE の 2 つの set が見える。個人のユーザ名は写さない。</t>
        </is>
      </c>
      <c r="F15" s="63" t="inlineStr"/>
      <c r="G15" s="22" t="inlineStr"/>
    </row>
    <row r="16" ht="44" customHeight="1">
      <c r="A16" s="8" t="inlineStr">
        <is>
          <t>IMG-10</t>
        </is>
      </c>
      <c r="B16" s="8" t="inlineStr">
        <is>
          <t>08_初期設定</t>
        </is>
      </c>
      <c r="C16" s="8" t="inlineStr">
        <is>
          <t>user.properties 末尾の追記</t>
        </is>
      </c>
      <c r="D16" s="8" t="inlineStr">
        <is>
          <t>保存する直前。</t>
        </is>
      </c>
      <c r="E16" s="8" t="inlineStr">
        <is>
          <t>timestamp_format と date_format の 2 行が同じ書式で並んでいるところを囲む。</t>
        </is>
      </c>
      <c r="F16" s="63" t="inlineStr"/>
      <c r="G16" s="22" t="inlineStr"/>
    </row>
    <row r="17" ht="44" customHeight="1">
      <c r="A17" s="7" t="inlineStr">
        <is>
          <t>IMG-11</t>
        </is>
      </c>
      <c r="B17" s="7" t="inlineStr">
        <is>
          <t>09_画面の見方</t>
        </is>
      </c>
      <c r="C17" s="7" t="inlineStr">
        <is>
          <t>画面各部の名称を書き込んだ全体図</t>
        </is>
      </c>
      <c r="D17" s="7" t="inlineStr">
        <is>
          <t>起動直後。要素を足す前でも、足したあとでもよい。</t>
        </is>
      </c>
      <c r="E17" s="7" t="inlineStr">
        <is>
          <t>メニュー、ツールバーの緑の三角、左ツリー、右の詳細、の 4 つに引き出し線があると後から読んで分かる。</t>
        </is>
      </c>
      <c r="F17" s="63" t="inlineStr"/>
      <c r="G17" s="22" t="inlineStr"/>
    </row>
    <row r="18" ht="32" customHeight="1">
      <c r="A18" s="8" t="inlineStr">
        <is>
          <t>IMG-12</t>
        </is>
      </c>
      <c r="B18" s="8" t="inlineStr">
        <is>
          <t>10_要素の追加</t>
        </is>
      </c>
      <c r="C18" s="8" t="inlineStr">
        <is>
          <t>右クリックメニューの「追加」が開いているところ</t>
        </is>
      </c>
      <c r="D18" s="8" t="inlineStr">
        <is>
          <t>テスト計画を右クリックした直後。</t>
        </is>
      </c>
      <c r="E18" s="8" t="inlineStr">
        <is>
          <t>追加、の中に スレッド（ユーザー）、設定エレメント、リスナー が見える。</t>
        </is>
      </c>
      <c r="F18" s="63" t="inlineStr"/>
      <c r="G18" s="22" t="inlineStr"/>
    </row>
    <row r="19" ht="56" customHeight="1">
      <c r="A19" s="7" t="inlineStr">
        <is>
          <t>IMG-13</t>
        </is>
      </c>
      <c r="B19" s="7" t="inlineStr">
        <is>
          <t>11_機能カタログ</t>
        </is>
      </c>
      <c r="C19" s="7" t="inlineStr">
        <is>
          <t>Plugins Manager を開いた画面</t>
        </is>
      </c>
      <c r="D19" s="7" t="inlineStr">
        <is>
          <t>jar を入れて再起動したあと。入れないとメニューが無いので、その場合はこの枠に「未使用」と記入して図は貼らなくてよい。</t>
        </is>
      </c>
      <c r="E19" s="7" t="inlineStr">
        <is>
          <t>オプションメニューと Plugins Manager の窓。導入したプラグイン名が読めること。</t>
        </is>
      </c>
      <c r="F19" s="63" t="inlineStr"/>
      <c r="G19" s="22" t="inlineStr"/>
    </row>
    <row r="20" ht="32" customHeight="1">
      <c r="A20" s="8" t="inlineStr">
        <is>
          <t>IMG-14</t>
        </is>
      </c>
      <c r="B20" s="8" t="inlineStr">
        <is>
          <t>12_シナリオ作成</t>
        </is>
      </c>
      <c r="C20" s="8" t="inlineStr">
        <is>
          <t>完成した左ツリー</t>
        </is>
      </c>
      <c r="D20" s="8" t="inlineStr">
        <is>
          <t>手順 24 の保存直前。</t>
        </is>
      </c>
      <c r="E20" s="8" t="inlineStr">
        <is>
          <t>このシート冒頭の木と同じ親子が、折りたたまない状態で読める。</t>
        </is>
      </c>
      <c r="F20" s="63" t="inlineStr"/>
      <c r="G20" s="22" t="inlineStr"/>
    </row>
    <row r="21" ht="44" customHeight="1">
      <c r="A21" s="7" t="inlineStr">
        <is>
          <t>IMG-15</t>
        </is>
      </c>
      <c r="B21" s="7" t="inlineStr">
        <is>
          <t>12_シナリオ作成</t>
        </is>
      </c>
      <c r="C21" s="7" t="inlineStr">
        <is>
          <t>スレッドグループの入力欄</t>
        </is>
      </c>
      <c r="D21" s="7" t="inlineStr">
        <is>
          <t>手順 9 のあと。</t>
        </is>
      </c>
      <c r="E21" s="7" t="inlineStr">
        <is>
          <t>スレッド数、Ramp-Up、無限ループ、スケジューラ、持続時間が 1 画面に入る。値は ${__P(...)} が見える。</t>
        </is>
      </c>
      <c r="F21" s="63" t="inlineStr"/>
      <c r="G21" s="22" t="inlineStr"/>
    </row>
    <row r="22" ht="32" customHeight="1">
      <c r="A22" s="8" t="inlineStr">
        <is>
          <t>IMG-16</t>
        </is>
      </c>
      <c r="B22" s="8" t="inlineStr">
        <is>
          <t>12_シナリオ作成</t>
        </is>
      </c>
      <c r="C22" s="8" t="inlineStr">
        <is>
          <t>HTTPリクエスト初期値</t>
        </is>
      </c>
      <c r="D22" s="8" t="inlineStr">
        <is>
          <t>手順 2 のあと。</t>
        </is>
      </c>
      <c r="E22" s="8" t="inlineStr">
        <is>
          <t>プロトコル、サーバ名、ポート。パスは空。</t>
        </is>
      </c>
      <c r="F22" s="63" t="inlineStr"/>
      <c r="G22" s="22" t="inlineStr"/>
    </row>
    <row r="23" ht="44" customHeight="1">
      <c r="A23" s="7" t="inlineStr">
        <is>
          <t>IMG-17</t>
        </is>
      </c>
      <c r="B23" s="7" t="inlineStr">
        <is>
          <t>12_シナリオ作成</t>
        </is>
      </c>
      <c r="C23" s="7" t="inlineStr">
        <is>
          <t>ログインの HTTP リクエスト</t>
        </is>
      </c>
      <c r="D23" s="7" t="inlineStr">
        <is>
          <t>手順 15 のあと。</t>
        </is>
      </c>
      <c r="E23" s="7" t="inlineStr">
        <is>
          <t>メソッド POST、パス、Body Data の JSON。パスワードの実値は写さない。${password} のままでよい。</t>
        </is>
      </c>
      <c r="F23" s="63" t="inlineStr"/>
      <c r="G23" s="22" t="inlineStr"/>
    </row>
    <row r="24" ht="44" customHeight="1">
      <c r="A24" s="8" t="inlineStr">
        <is>
          <t>IMG-18</t>
        </is>
      </c>
      <c r="B24" s="8" t="inlineStr">
        <is>
          <t>13_データと相関</t>
        </is>
      </c>
      <c r="C24" s="8" t="inlineStr">
        <is>
          <t>CSV Data Set Config の入力欄</t>
        </is>
      </c>
      <c r="D24" s="8" t="inlineStr">
        <is>
          <t>手順 4 のあと。</t>
        </is>
      </c>
      <c r="E24" s="8" t="inlineStr">
        <is>
          <t>Filename が users.csv で、絶対パスではない。Encoding が UTF-8。Sharing mode が見える。</t>
        </is>
      </c>
      <c r="F24" s="63" t="inlineStr"/>
      <c r="G24" s="22" t="inlineStr"/>
    </row>
    <row r="25" ht="44" customHeight="1">
      <c r="A25" s="7" t="inlineStr">
        <is>
          <t>IMG-19</t>
        </is>
      </c>
      <c r="B25" s="7" t="inlineStr">
        <is>
          <t>13_データと相関</t>
        </is>
      </c>
      <c r="C25" s="7" t="inlineStr">
        <is>
          <t>JSON Extractor の 4 欄</t>
        </is>
      </c>
      <c r="D25" s="7" t="inlineStr">
        <is>
          <t>ログインリクエストの子として設定したあと。</t>
        </is>
      </c>
      <c r="E25" s="7" t="inlineStr">
        <is>
          <t>変数名、JSON Path、Match No.、Default Values の 4 つが読める。実トークンは写さない。</t>
        </is>
      </c>
      <c r="F25" s="63" t="inlineStr"/>
      <c r="G25" s="22" t="inlineStr"/>
    </row>
    <row r="26" ht="32" customHeight="1">
      <c r="A26" s="8" t="inlineStr">
        <is>
          <t>IMG-20</t>
        </is>
      </c>
      <c r="B26" s="8" t="inlineStr">
        <is>
          <t>14_GUIで実行</t>
        </is>
      </c>
      <c r="C26" s="8" t="inlineStr">
        <is>
          <t>開始ボタンを押した直後の全体</t>
        </is>
      </c>
      <c r="D26" s="8" t="inlineStr">
        <is>
          <t>件数が 1 以上になり、まだ実行中か、終わった直後。</t>
        </is>
      </c>
      <c r="E26" s="8" t="inlineStr">
        <is>
          <t>緑の三角の位置と、右上の実行中表示、左ツリーの結果ツリーが見える。</t>
        </is>
      </c>
      <c r="F26" s="63" t="inlineStr"/>
      <c r="G26" s="22" t="inlineStr"/>
    </row>
    <row r="27" ht="44" customHeight="1">
      <c r="A27" s="7" t="inlineStr">
        <is>
          <t>IMG-21</t>
        </is>
      </c>
      <c r="B27" s="7" t="inlineStr">
        <is>
          <t>14_GUIで実行</t>
        </is>
      </c>
      <c r="C27" s="7" t="inlineStr">
        <is>
          <t>結果ツリーでログインが緑の画面</t>
        </is>
      </c>
      <c r="D27" s="7" t="inlineStr">
        <is>
          <t>Sampler result タブ。</t>
        </is>
      </c>
      <c r="E27" s="7" t="inlineStr">
        <is>
          <t>サンプル名、応答コード 200、Load time が見える。トークンやパスワードの本文は写さない。Response data は畳む。</t>
        </is>
      </c>
      <c r="F27" s="63" t="inlineStr"/>
      <c r="G27" s="22" t="inlineStr"/>
    </row>
    <row r="28" ht="32" customHeight="1">
      <c r="A28" s="8" t="inlineStr">
        <is>
          <t>IMG-22</t>
        </is>
      </c>
      <c r="B28" s="8" t="inlineStr">
        <is>
          <t>15_GUIの結果確認</t>
        </is>
      </c>
      <c r="C28" s="8" t="inlineStr">
        <is>
          <t>結果ツリーの Request タブ</t>
        </is>
      </c>
      <c r="D28" s="8" t="inlineStr">
        <is>
          <t>変数が置換されたリクエスト。</t>
        </is>
      </c>
      <c r="E28" s="8" t="inlineStr">
        <is>
          <t>URL とヘッダ名が見える。Authorization の値は隠す。</t>
        </is>
      </c>
      <c r="F28" s="63" t="inlineStr"/>
      <c r="G28" s="22" t="inlineStr"/>
    </row>
    <row r="29" ht="44" customHeight="1">
      <c r="A29" s="7" t="inlineStr">
        <is>
          <t>IMG-23</t>
        </is>
      </c>
      <c r="B29" s="7" t="inlineStr">
        <is>
          <t>15_GUIの結果確認</t>
        </is>
      </c>
      <c r="C29" s="7" t="inlineStr">
        <is>
          <t>統計レポートを開いた例（数件）</t>
        </is>
      </c>
      <c r="D29" s="7" t="inlineStr">
        <is>
          <t>1 人で数周したあと。負荷の証拠としては使わない、と分かった状態で撮る。</t>
        </is>
      </c>
      <c r="E29" s="7" t="inlineStr">
        <is>
          <t>Label、# Samples、Average、95% Line、Error %、Throughput の列見出しが見える。</t>
        </is>
      </c>
      <c r="F29" s="63" t="inlineStr"/>
      <c r="G29" s="22" t="inlineStr"/>
    </row>
    <row r="30" ht="32" customHeight="1">
      <c r="A30" s="8" t="inlineStr">
        <is>
          <t>IMG-24</t>
        </is>
      </c>
      <c r="B30" s="8" t="inlineStr">
        <is>
          <t>17_JMXの保存と転送</t>
        </is>
      </c>
      <c r="C30" s="8" t="inlineStr">
        <is>
          <t>名前を付けて保存ダイアログ</t>
        </is>
      </c>
      <c r="D30" s="8" t="inlineStr">
        <is>
          <t>jmx を scenarios\order-search に保存するとき。</t>
        </is>
      </c>
      <c r="E30" s="8" t="inlineStr">
        <is>
          <t>ファイル名 order-search.jmx と、フォルダパスが見える。</t>
        </is>
      </c>
      <c r="F30" s="63" t="inlineStr"/>
      <c r="G30" s="22" t="inlineStr"/>
    </row>
    <row r="31" ht="44" customHeight="1">
      <c r="A31" s="7" t="inlineStr">
        <is>
          <t>IMG-25</t>
        </is>
      </c>
      <c r="B31" s="7" t="inlineStr">
        <is>
          <t>17_JMXの保存と転送</t>
        </is>
      </c>
      <c r="C31" s="7" t="inlineStr">
        <is>
          <t>WinSCP または scp の完了</t>
        </is>
      </c>
      <c r="D31" s="7" t="inlineStr">
        <is>
          <t>転送直後。</t>
        </is>
      </c>
      <c r="E31" s="7" t="inlineStr">
        <is>
          <t>サーバ側に jmx、csv、load.properties、run.sh が並び、サイズが見える。結果ファイルは写っていない。</t>
        </is>
      </c>
      <c r="F31" s="63" t="inlineStr"/>
      <c r="G31" s="22" t="inlineStr"/>
    </row>
    <row r="32" ht="32" customHeight="1">
      <c r="A32" s="8" t="inlineStr">
        <is>
          <t>IMG-26</t>
        </is>
      </c>
      <c r="B32" s="8" t="inlineStr">
        <is>
          <t>18_Linuxサーバ準備</t>
        </is>
      </c>
      <c r="C32" s="8" t="inlineStr">
        <is>
          <t>java -version と jmeter -v</t>
        </is>
      </c>
      <c r="D32" s="8" t="inlineStr">
        <is>
          <t>準備が終わったサーバの端末画面。</t>
        </is>
      </c>
      <c r="E32" s="8" t="inlineStr">
        <is>
          <t>両方のバージョン文字列と、プロンプトが loadtest であることが読める。</t>
        </is>
      </c>
      <c r="F32" s="63" t="inlineStr"/>
      <c r="G32" s="22" t="inlineStr"/>
    </row>
    <row r="33" ht="32" customHeight="1">
      <c r="A33" s="7" t="inlineStr">
        <is>
          <t>IMG-27</t>
        </is>
      </c>
      <c r="B33" s="7" t="inlineStr">
        <is>
          <t>19_CLIの実行</t>
        </is>
      </c>
      <c r="C33" s="7" t="inlineStr">
        <is>
          <t>run.sh を実行した直後のコンソール</t>
        </is>
      </c>
      <c r="D33" s="7" t="inlineStr">
        <is>
          <t>summary が 1 行でも出たところ。</t>
        </is>
      </c>
      <c r="E33" s="7" t="inlineStr">
        <is>
          <t>コマンドの末尾と、summary の 1 行目が見える。パスワードは写さない。</t>
        </is>
      </c>
      <c r="F33" s="63" t="inlineStr"/>
      <c r="G33" s="22" t="inlineStr"/>
    </row>
    <row r="34" ht="44" customHeight="1">
      <c r="A34" s="8" t="inlineStr">
        <is>
          <t>IMG-28</t>
        </is>
      </c>
      <c r="B34" s="8" t="inlineStr">
        <is>
          <t>20_コンソール監視</t>
        </is>
      </c>
      <c r="C34" s="8" t="inlineStr">
        <is>
          <t>summary の + と = が数行出ているコンソール</t>
        </is>
      </c>
      <c r="D34" s="8" t="inlineStr">
        <is>
          <t>試験の途中。</t>
        </is>
      </c>
      <c r="E34" s="8" t="inlineStr">
        <is>
          <t>+ と = の違いが分かるよう、両方を入れる。ウィンドウのタイトルやホスト名も入るとよい。</t>
        </is>
      </c>
      <c r="F34" s="63" t="inlineStr"/>
      <c r="G34" s="22" t="inlineStr"/>
    </row>
    <row r="35" ht="44" customHeight="1">
      <c r="A35" s="7" t="inlineStr">
        <is>
          <t>IMG-29</t>
        </is>
      </c>
      <c r="B35" s="7" t="inlineStr">
        <is>
          <t>21_JTLとログ</t>
        </is>
      </c>
      <c r="C35" s="7" t="inlineStr">
        <is>
          <t>結果ディレクトリの ls -l</t>
        </is>
      </c>
      <c r="D35" s="7" t="inlineStr">
        <is>
          <t>試験が終わった直後。</t>
        </is>
      </c>
      <c r="E35" s="7" t="inlineStr">
        <is>
          <t>result.jtl、jmeter.log、run-conditions.txt、html-report が 1 画面に入る。サイズが 0 でないこと。</t>
        </is>
      </c>
      <c r="F35" s="63" t="inlineStr"/>
      <c r="G35" s="22" t="inlineStr"/>
    </row>
    <row r="36" ht="44" customHeight="1">
      <c r="A36" s="8" t="inlineStr">
        <is>
          <t>IMG-30</t>
        </is>
      </c>
      <c r="B36" s="8" t="inlineStr">
        <is>
          <t>21_JTLとログ</t>
        </is>
      </c>
      <c r="C36" s="8" t="inlineStr">
        <is>
          <t>html-report/index.html の Statistics 表</t>
        </is>
      </c>
      <c r="D36" s="8" t="inlineStr">
        <is>
          <t>ブラウザで index.html を開いたところ。</t>
        </is>
      </c>
      <c r="E36" s="8" t="inlineStr">
        <is>
          <t>Transactions、Samples、Error %、Average、90th、95th、99th、Throughput が見える。</t>
        </is>
      </c>
      <c r="F36" s="63" t="inlineStr"/>
      <c r="G36" s="22" t="inlineStr"/>
    </row>
    <row r="37" ht="32" customHeight="1">
      <c r="A37" s="7" t="inlineStr">
        <is>
          <t>IMG-31</t>
        </is>
      </c>
      <c r="B37" s="7" t="inlineStr">
        <is>
          <t>22_結果を端末へ</t>
        </is>
      </c>
      <c r="C37" s="7" t="inlineStr">
        <is>
          <t>端末の results フォルダ</t>
        </is>
      </c>
      <c r="D37" s="7" t="inlineStr">
        <is>
          <t>scp または WinSCP のあと。</t>
        </is>
      </c>
      <c r="E37" s="7" t="inlineStr">
        <is>
          <t>1 回分のフォルダが開いていて、jtl、log、txt、html-report が見える。</t>
        </is>
      </c>
      <c r="F37" s="63" t="inlineStr"/>
      <c r="G37" s="22" t="inlineStr"/>
    </row>
    <row r="38" ht="44" customHeight="1">
      <c r="A38" s="8" t="inlineStr">
        <is>
          <t>IMG-32</t>
        </is>
      </c>
      <c r="B38" s="8" t="inlineStr">
        <is>
          <t>22_結果を端末へ</t>
        </is>
      </c>
      <c r="C38" s="8" t="inlineStr">
        <is>
          <t>ブラウザのダッシュボード先頭</t>
        </is>
      </c>
      <c r="D38" s="8" t="inlineStr">
        <is>
          <t>index.html を開いた直後。</t>
        </is>
      </c>
      <c r="E38" s="8" t="inlineStr">
        <is>
          <t>タイトルと、エラーの有無が分かる要約。個人情報のリクエスト URL が拡大されていれば隠す。</t>
        </is>
      </c>
      <c r="F38" s="63" t="inlineStr"/>
      <c r="G38" s="22" t="inlineStr"/>
    </row>
    <row r="39" ht="32" customHeight="1">
      <c r="A39" s="7" t="inlineStr">
        <is>
          <t>IMG-33</t>
        </is>
      </c>
      <c r="B39" s="7" t="inlineStr">
        <is>
          <t>23_Excelへ読込</t>
        </is>
      </c>
      <c r="C39" s="7" t="inlineStr">
        <is>
          <t>JSON の取り込みで statistics.json を選んだ画面</t>
        </is>
      </c>
      <c r="D39" s="7" t="inlineStr">
        <is>
          <t>ファイル選択ダイアログ。</t>
        </is>
      </c>
      <c r="E39" s="7" t="inlineStr">
        <is>
          <t>選んでいるファイル名が statistics.json と読める。</t>
        </is>
      </c>
      <c r="F39" s="63" t="inlineStr"/>
      <c r="G39" s="22" t="inlineStr"/>
    </row>
    <row r="40" ht="44" customHeight="1">
      <c r="A40" s="8" t="inlineStr">
        <is>
          <t>IMG-34</t>
        </is>
      </c>
      <c r="B40" s="8" t="inlineStr">
        <is>
          <t>23_Excelへ読込</t>
        </is>
      </c>
      <c r="C40" s="8" t="inlineStr">
        <is>
          <t>CSV 取り込みのプレビュー</t>
        </is>
      </c>
      <c r="D40" s="8" t="inlineStr">
        <is>
          <t>区切り記号をコンマにしたあと。</t>
        </is>
      </c>
      <c r="E40" s="8" t="inlineStr">
        <is>
          <t>列名 timeStamp、elapsed、label、responseCode、success が見える。データの中身の個人情報は写さない。</t>
        </is>
      </c>
      <c r="F40" s="63" t="inlineStr"/>
      <c r="G40" s="22" t="inlineStr"/>
    </row>
    <row r="41" ht="44" customHeight="1">
      <c r="A41" s="7" t="inlineStr">
        <is>
          <t>IMG-35</t>
        </is>
      </c>
      <c r="B41" s="7" t="inlineStr">
        <is>
          <t>24_分析の手順</t>
        </is>
      </c>
      <c r="C41" s="7" t="inlineStr">
        <is>
          <t>Response Times Over Time のグラフ</t>
        </is>
      </c>
      <c r="D41" s="7" t="inlineStr">
        <is>
          <t>HTML レポートから、報告に使う取引だけを表示した状態。</t>
        </is>
      </c>
      <c r="E41" s="7" t="inlineStr">
        <is>
          <t>縦軸がミリ秒、横軸が時刻、凡例に label 名。ランプアップの区間が目で分かる。</t>
        </is>
      </c>
      <c r="F41" s="63" t="inlineStr"/>
      <c r="G41" s="22" t="inlineStr"/>
    </row>
    <row r="42" ht="32" customHeight="1">
      <c r="A42" s="8" t="inlineStr">
        <is>
          <t>IMG-36</t>
        </is>
      </c>
      <c r="B42" s="8" t="inlineStr">
        <is>
          <t>26_レポートひな形</t>
        </is>
      </c>
      <c r="C42" s="8" t="inlineStr">
        <is>
          <t>提出用: Statistics の表、またはそのスクリーンショット</t>
        </is>
      </c>
      <c r="D42" s="8" t="inlineStr">
        <is>
          <t>数値を転記した同じ実行の HTML レポート。</t>
        </is>
      </c>
      <c r="E42" s="8" t="inlineStr">
        <is>
          <t>試験名と日時が報告の結果フォルダと一致すると分かる範囲。</t>
        </is>
      </c>
      <c r="F42" s="63" t="inlineStr"/>
      <c r="G42" s="22" t="inlineStr"/>
    </row>
    <row r="43" ht="32" customHeight="1">
      <c r="A43" s="7" t="inlineStr">
        <is>
          <t>IMG-37</t>
        </is>
      </c>
      <c r="B43" s="7" t="inlineStr">
        <is>
          <t>26_レポートひな形</t>
        </is>
      </c>
      <c r="C43" s="7" t="inlineStr">
        <is>
          <t>提出用: 応答時間の時間推移</t>
        </is>
      </c>
      <c r="D43" s="7" t="inlineStr">
        <is>
          <t>問題の有無が目で分かる取引を表示したグラフ。</t>
        </is>
      </c>
      <c r="E43" s="7" t="inlineStr">
        <is>
          <t>縦軸ミリ秒、横軸時刻、凡例。</t>
        </is>
      </c>
      <c r="F43" s="63" t="inlineStr"/>
      <c r="G43" s="22" t="inlineStr"/>
    </row>
    <row r="44" ht="44" customHeight="1">
      <c r="A44" s="8" t="inlineStr">
        <is>
          <t>IMG-38</t>
        </is>
      </c>
      <c r="B44" s="8" t="inlineStr">
        <is>
          <t>26_レポートひな形</t>
        </is>
      </c>
      <c r="C44" s="8" t="inlineStr">
        <is>
          <t>提出用: エラーまたは件/秒のグラフ（無ければ枠に「該当なし」と書く）</t>
        </is>
      </c>
      <c r="D44" s="8" t="inlineStr">
        <is>
          <t>エラーが 0 で件/秒も安定なら、その旨を枠の文字として残し、図は省略してよい。</t>
        </is>
      </c>
      <c r="E44" s="8" t="inlineStr">
        <is>
          <t>省略するときは図を置かず、理由をこの枠の文に残す。</t>
        </is>
      </c>
      <c r="F44" s="63" t="inlineStr"/>
      <c r="G44" s="22" t="inlineStr"/>
    </row>
    <row r="45" ht="32" customHeight="1">
      <c r="A45" s="7" t="inlineStr">
        <is>
          <t>IMG-39</t>
        </is>
      </c>
      <c r="B45" s="7" t="inlineStr">
        <is>
          <t>27_計算例</t>
        </is>
      </c>
      <c r="C45" s="7" t="inlineStr">
        <is>
          <t>この計算例シートを Excel で開いて再計算した画面（任意）</t>
        </is>
      </c>
      <c r="D45" s="7" t="inlineStr">
        <is>
          <t>数式を理解したあとに撮る。提出物ではない。</t>
        </is>
      </c>
      <c r="E45" s="7" t="inlineStr">
        <is>
          <t>02_検索の行で、平均と 95% とエラー率が見える。</t>
        </is>
      </c>
      <c r="F45" s="63" t="inlineStr"/>
      <c r="G45" s="22" t="inlineStr"/>
    </row>
    <row r="46" ht="44" customHeight="1">
      <c r="A46" s="8" t="inlineStr">
        <is>
          <t>IMG-40</t>
        </is>
      </c>
      <c r="B46" s="8" t="inlineStr">
        <is>
          <t>34_認証の全体像</t>
        </is>
      </c>
      <c r="C46" s="8" t="inlineStr">
        <is>
          <t>Cognito と API Gateway を分けた左のツリー</t>
        </is>
      </c>
      <c r="D46" s="8" t="inlineStr">
        <is>
          <t>35 の手順が終わって保存する直前。</t>
        </is>
      </c>
      <c r="E46" s="8" t="inlineStr">
        <is>
          <t>setUp と TG_業務の親子が、折りたたまない状態で読める。ヘッダの値、トークン、API キーは写さない。</t>
        </is>
      </c>
      <c r="F46" s="63" t="inlineStr"/>
      <c r="G46" s="22" t="inlineStr"/>
    </row>
    <row r="47" ht="56" customHeight="1">
      <c r="A47" s="7" t="inlineStr">
        <is>
          <t>IMG-41</t>
        </is>
      </c>
      <c r="B47" s="7" t="inlineStr">
        <is>
          <t>34_認証の全体像</t>
        </is>
      </c>
      <c r="C47" s="7" t="inlineStr">
        <is>
          <t>端末、JMeter 実行サーバ、Cognito、API Gateway の配置</t>
        </is>
      </c>
      <c r="D47" s="7" t="inlineStr">
        <is>
          <t>自分の現場のホスト名に置き換えたあと。</t>
        </is>
      </c>
      <c r="E47" s="7" t="inlineStr">
        <is>
          <t>矢印は 3 本。jmx を実行サーバへ送る、実行サーバが Cognito と API Gateway を叩く、jtl を端末へ戻す。秘密の値は図に書かない。</t>
        </is>
      </c>
      <c r="F47" s="63" t="inlineStr"/>
      <c r="G47" s="22" t="inlineStr"/>
    </row>
    <row r="48" ht="44" customHeight="1">
      <c r="A48" s="8" t="inlineStr">
        <is>
          <t>IMG-42</t>
        </is>
      </c>
      <c r="B48" s="8" t="inlineStr">
        <is>
          <t>35_Cognitoトークン</t>
        </is>
      </c>
      <c r="C48" s="8" t="inlineStr">
        <is>
          <t>setUp スレッドグループの人数欄</t>
        </is>
      </c>
      <c r="D48" s="8" t="inlineStr">
        <is>
          <t>手順 7 のあと。</t>
        </is>
      </c>
      <c r="E48" s="8" t="inlineStr">
        <is>
          <t>スレッド数 1、Ramp-Up 1、ループ 1、スケジューラがオフ。${__P(threads)} が無いことが読める。</t>
        </is>
      </c>
      <c r="F48" s="63" t="inlineStr"/>
      <c r="G48" s="22" t="inlineStr"/>
    </row>
    <row r="49" ht="56" customHeight="1">
      <c r="A49" s="7" t="inlineStr">
        <is>
          <t>IMG-43</t>
        </is>
      </c>
      <c r="B49" s="7" t="inlineStr">
        <is>
          <t>35_Cognitoトークン</t>
        </is>
      </c>
      <c r="C49" s="7" t="inlineStr">
        <is>
          <t>Cognito の HTTP リクエスト</t>
        </is>
      </c>
      <c r="D49" s="7" t="inlineStr">
        <is>
          <t>手順 11 のあと。</t>
        </is>
      </c>
      <c r="E49" s="7" t="inlineStr">
        <is>
          <t>メソッド POST、パス /oauth2/token、サーバ欄が ${__P(cognito.host)}。パラメータ 3 行。Body Data は空。client_secret の実値は写さない。</t>
        </is>
      </c>
      <c r="F49" s="63" t="inlineStr"/>
      <c r="G49" s="22" t="inlineStr"/>
    </row>
    <row r="50" ht="44" customHeight="1">
      <c r="A50" s="8" t="inlineStr">
        <is>
          <t>IMG-44</t>
        </is>
      </c>
      <c r="B50" s="8" t="inlineStr">
        <is>
          <t>35_Cognitoトークン</t>
        </is>
      </c>
      <c r="C50" s="8" t="inlineStr">
        <is>
          <t>業務リクエストのパスと、子のヘッダマネージャ</t>
        </is>
      </c>
      <c r="D50" s="8" t="inlineStr">
        <is>
          <t>手順 23 のあと。実行前。</t>
        </is>
      </c>
      <c r="E50" s="8" t="inlineStr">
        <is>
          <t>パスに ${__P(api.stage,prod)} が見える。ヘッダ名 Authorization と X-API-ID、値は式のまま。実キーは写さない。</t>
        </is>
      </c>
      <c r="F50" s="63" t="inlineStr"/>
      <c r="G50" s="22" t="inlineStr"/>
    </row>
    <row r="51" ht="44" customHeight="1">
      <c r="A51" s="7" t="inlineStr">
        <is>
          <t>IMG-45</t>
        </is>
      </c>
      <c r="B51" s="7" t="inlineStr">
        <is>
          <t>35_Cognitoトークン</t>
        </is>
      </c>
      <c r="C51" s="7" t="inlineStr">
        <is>
          <t>結果ツリーでトークン取得が緑の画面</t>
        </is>
      </c>
      <c r="D51" s="7" t="inlineStr">
        <is>
          <t>手順 32。Sampler result タブ。</t>
        </is>
      </c>
      <c r="E51" s="7" t="inlineStr">
        <is>
          <t>サンプル名と応答コード 200。Request と Response data は開かない。トークンが写り込まない構図。</t>
        </is>
      </c>
      <c r="F51" s="63" t="inlineStr"/>
      <c r="G51" s="22" t="inlineStr"/>
    </row>
    <row r="52" ht="44" customHeight="1">
      <c r="A52" s="8" t="inlineStr">
        <is>
          <t>IMG-46</t>
        </is>
      </c>
      <c r="B52" s="8" t="inlineStr">
        <is>
          <t>35_Cognitoトークン</t>
        </is>
      </c>
      <c r="C52" s="8" t="inlineStr">
        <is>
          <t>サーバの plans/api-gateway の ls -l</t>
        </is>
      </c>
      <c r="D52" s="8" t="inlineStr">
        <is>
          <t>chmod のあと。</t>
        </is>
      </c>
      <c r="E52" s="8" t="inlineStr">
        <is>
          <t>4 ファイルの名前とサイズ。secrets.properties の権限が 600。中身は開かない。</t>
        </is>
      </c>
      <c r="F52" s="63" t="inlineStr"/>
      <c r="G52" s="22" t="inlineStr"/>
    </row>
    <row r="53" ht="32" customHeight="1">
      <c r="A53" s="7" t="inlineStr">
        <is>
          <t>IMG-47</t>
        </is>
      </c>
      <c r="B53" s="7" t="inlineStr">
        <is>
          <t>35_Cognitoトークン</t>
        </is>
      </c>
      <c r="C53" s="7" t="inlineStr">
        <is>
          <t>run-api.sh 実行後の summary</t>
        </is>
      </c>
      <c r="D53" s="7" t="inlineStr">
        <is>
          <t>1 人の実行で、summary が 1 行出たところ。</t>
        </is>
      </c>
      <c r="E53" s="7" t="inlineStr">
        <is>
          <t>Active と Err が読める。コマンドラインに秘密の値が展開されていない。</t>
        </is>
      </c>
      <c r="F53" s="63" t="inlineStr"/>
      <c r="G53" s="22" t="inlineStr"/>
    </row>
    <row r="54" ht="44" customHeight="1">
      <c r="A54" s="8" t="inlineStr">
        <is>
          <t>IMG-48</t>
        </is>
      </c>
      <c r="B54" s="8" t="inlineStr">
        <is>
          <t>36_BASE64ヘッダ</t>
        </is>
      </c>
      <c r="C54" s="8" t="inlineStr">
        <is>
          <t>JSR223 PreProcessor の Language とスクリプト</t>
        </is>
      </c>
      <c r="D54" s="8" t="inlineStr">
        <is>
          <t>保存前。公開例ではなく、現場のスクリプト全文が見える状態。</t>
        </is>
      </c>
      <c r="E54" s="8" t="inlineStr">
        <is>
          <t>Language が groovy。スクリプトに client_secret の実値が無い。log.info が length だけ。</t>
        </is>
      </c>
      <c r="F54" s="63" t="inlineStr"/>
      <c r="G54" s="22" t="inlineStr"/>
    </row>
    <row r="55" ht="56" customHeight="1">
      <c r="A55" s="7" t="inlineStr">
        <is>
          <t>IMG-49</t>
        </is>
      </c>
      <c r="B55" s="7" t="inlineStr">
        <is>
          <t>36_BASE64ヘッダ</t>
        </is>
      </c>
      <c r="C55" s="7" t="inlineStr">
        <is>
          <t>HM_トークンの 2 行</t>
        </is>
      </c>
      <c r="D55" s="7" t="inlineStr">
        <is>
          <t>ヘッダを入れた直後。実行前の画面。</t>
        </is>
      </c>
      <c r="E55" s="7" t="inlineStr">
        <is>
          <t>Content-Type が application/x-www-form-urlencoded。Authorization の値が Basic ${basic_credentials}。実値は無い。</t>
        </is>
      </c>
      <c r="F55" s="63" t="inlineStr"/>
      <c r="G55" s="22" t="inlineStr"/>
    </row>
    <row r="56" ht="44" customHeight="1">
      <c r="A56" s="8" t="inlineStr">
        <is>
          <t>IMG-50</t>
        </is>
      </c>
      <c r="B56" s="8" t="inlineStr">
        <is>
          <t>37_トークンの保持</t>
        </is>
      </c>
      <c r="C56" s="8" t="inlineStr">
        <is>
          <t>JSON Extractor の欄</t>
        </is>
      </c>
      <c r="D56" s="8" t="inlineStr">
        <is>
          <t>4 つの欄を入れたあと。</t>
        </is>
      </c>
      <c r="E56" s="8" t="inlineStr">
        <is>
          <t>変数名、JSON Path、Match No. が 1;1、Default に TOKEN_NOT_FOUND が見える。実トークンは写さない。</t>
        </is>
      </c>
      <c r="F56" s="63" t="inlineStr"/>
      <c r="G56" s="22" t="inlineStr"/>
    </row>
    <row r="57" ht="56" customHeight="1">
      <c r="A57" s="7" t="inlineStr">
        <is>
          <t>IMG-51</t>
        </is>
      </c>
      <c r="B57" s="7" t="inlineStr">
        <is>
          <t>37_トークンの保持</t>
        </is>
      </c>
      <c r="C57" s="7" t="inlineStr">
        <is>
          <t>PostProcessor が JSON Extractor の下にあるツリー</t>
        </is>
      </c>
      <c r="D57" s="7" t="inlineStr">
        <is>
          <t>並びを直したあと。</t>
        </is>
      </c>
      <c r="E57" s="7" t="inlineStr">
        <is>
          <t>上から PreProcessor、ヘッダ、JSON Extractor、PostProcessor、応答アサーション。スクリプトの実トークンは写さない。</t>
        </is>
      </c>
      <c r="F57" s="63" t="inlineStr"/>
      <c r="G57" s="22" t="inlineStr"/>
    </row>
    <row r="58" ht="44" customHeight="1">
      <c r="A58" s="8" t="inlineStr">
        <is>
          <t>IMG-52</t>
        </is>
      </c>
      <c r="B58" s="8" t="inlineStr">
        <is>
          <t>38_正規表現抽出</t>
        </is>
      </c>
      <c r="C58" s="8" t="inlineStr">
        <is>
          <t>正規表現抽出の入力欄</t>
        </is>
      </c>
      <c r="D58" s="8" t="inlineStr">
        <is>
          <t>練習用の要素を作ったあと。実行結果は開かない。</t>
        </is>
      </c>
      <c r="E58" s="8" t="inlineStr">
        <is>
          <t>参照名 access_token_re、正規表現、テンプレート $1$、一致番号 1、初期値 TOKEN_NOT_FOUND が 1 画面に入る。</t>
        </is>
      </c>
      <c r="F58" s="63" t="inlineStr"/>
      <c r="G58" s="22" t="inlineStr"/>
    </row>
    <row r="59" ht="44" customHeight="1">
      <c r="A59" s="7" t="inlineStr">
        <is>
          <t>IMG-53</t>
        </is>
      </c>
      <c r="B59" s="7" t="inlineStr">
        <is>
          <t>38_正規表現抽出</t>
        </is>
      </c>
      <c r="C59" s="7" t="inlineStr">
        <is>
          <t>Regexp Tester の欄</t>
        </is>
      </c>
      <c r="D59" s="7" t="inlineStr">
        <is>
          <t>Test を押す前が安全。押したあとに撮るなら、一致文字列が見えない範囲。</t>
        </is>
      </c>
      <c r="E59" s="7" t="inlineStr">
        <is>
          <t>ドロップダウンで Regexp Tester が選ばれている。応答本文と group の値がフレームに入っていない。</t>
        </is>
      </c>
      <c r="F59" s="63" t="inlineStr"/>
      <c r="G59" s="22" t="inlineStr"/>
    </row>
    <row r="60" ht="44" customHeight="1">
      <c r="A60" s="8" t="inlineStr">
        <is>
          <t>IMG-54</t>
        </is>
      </c>
      <c r="B60" s="8" t="inlineStr">
        <is>
          <t>39_APIキーヘッダ</t>
        </is>
      </c>
      <c r="C60" s="8" t="inlineStr">
        <is>
          <t>HM_API のヘッダ 2 行</t>
        </is>
      </c>
      <c r="D60" s="8" t="inlineStr">
        <is>
          <t>実行前。</t>
        </is>
      </c>
      <c r="E60" s="8" t="inlineStr">
        <is>
          <t>名前 Authorization と X-API-ID（または合意した X-API-Key）。値は式。実キーとトークンは写さない。</t>
        </is>
      </c>
      <c r="F60" s="63" t="inlineStr"/>
      <c r="G60" s="22" t="inlineStr"/>
    </row>
  </sheetData>
  <autoFilter ref="A6:G60"/>
  <mergeCells count="5">
    <mergeCell ref="A1:G1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G17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履歴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この手順書の版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画面の名前やオプションは、下の公式ページを 2026-10-04 に確認して書いた。配布が 5.6.3 から進んだら、バージョンの行を直してから使う。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8" customHeight="1">
      <c r="A6" s="6" t="inlineStr">
        <is>
          <t>日付</t>
        </is>
      </c>
      <c r="B6" s="6" t="inlineStr">
        <is>
          <t>版</t>
        </is>
      </c>
      <c r="C6" s="6" t="inlineStr">
        <is>
          <t>内容</t>
        </is>
      </c>
      <c r="D6" s="6" t="inlineStr">
        <is>
          <t>確認した一次情報</t>
        </is>
      </c>
      <c r="E6" s="6" t="inlineStr"/>
      <c r="F6" s="6" t="inlineStr"/>
      <c r="G6" s="6" t="inlineStr"/>
    </row>
    <row r="7" ht="32" customHeight="1">
      <c r="A7" s="7" t="inlineStr">
        <is>
          <t>2026-10-04</t>
        </is>
      </c>
      <c r="B7" s="7" t="inlineStr">
        <is>
          <t>1.0</t>
        </is>
      </c>
      <c r="C7" s="7" t="inlineStr">
        <is>
          <t>初版。Windows 11 でシナリオを作り、Linux で CLI 実行し、Excel で結果と見込みを書く流れ。</t>
        </is>
      </c>
      <c r="D7" s="7" t="inlineStr">
        <is>
          <t>https://jmeter.apache.org/download_jmeter.cgi</t>
        </is>
      </c>
      <c r="E7" s="7" t="inlineStr"/>
      <c r="F7" s="7" t="inlineStr"/>
      <c r="G7" s="7" t="inlineStr"/>
    </row>
    <row r="8" ht="44" customHeight="1">
      <c r="A8" s="8" t="inlineStr">
        <is>
          <t>2026-10-04</t>
        </is>
      </c>
      <c r="B8" s="8" t="inlineStr">
        <is>
          <t>1.0</t>
        </is>
      </c>
      <c r="C8" s="8" t="inlineStr">
        <is>
          <t>Java の要件。5.6.3 は Java 8 以上。推奨は 17。次メジャーは 17 以上が必須、という Changes の記載に合わせ、新規導入は 17。</t>
        </is>
      </c>
      <c r="D8" s="8" t="inlineStr">
        <is>
          <t>https://jmeter.apache.org/changes.html</t>
        </is>
      </c>
      <c r="E8" s="8" t="inlineStr"/>
      <c r="F8" s="8" t="inlineStr"/>
      <c r="G8" s="8" t="inlineStr"/>
    </row>
    <row r="9" ht="32" customHeight="1">
      <c r="A9" s="7" t="inlineStr">
        <is>
          <t>2026-10-04</t>
        </is>
      </c>
      <c r="B9" s="7" t="inlineStr">
        <is>
          <t>1.0</t>
        </is>
      </c>
      <c r="C9" s="7" t="inlineStr">
        <is>
          <t>インストール、setenv、CLI の -n -t -l -j -e -o、ヒープ既定 1g。</t>
        </is>
      </c>
      <c r="D9" s="7" t="inlineStr">
        <is>
          <t>https://jmeter.apache.org/usermanual/get-started.html</t>
        </is>
      </c>
      <c r="E9" s="7" t="inlineStr"/>
      <c r="F9" s="7" t="inlineStr"/>
      <c r="G9" s="7" t="inlineStr"/>
    </row>
    <row r="10" ht="32" customHeight="1">
      <c r="A10" s="8" t="inlineStr">
        <is>
          <t>2026-10-04</t>
        </is>
      </c>
      <c r="B10" s="8" t="inlineStr">
        <is>
          <t>1.0</t>
        </is>
      </c>
      <c r="C10" s="8" t="inlineStr">
        <is>
          <t>結果ファイルと -l、-j。summary の見方。</t>
        </is>
      </c>
      <c r="D10" s="8" t="inlineStr">
        <is>
          <t>https://jmeter.apache.org/usermanual/listeners.html</t>
        </is>
      </c>
      <c r="E10" s="8" t="inlineStr"/>
      <c r="F10" s="8" t="inlineStr"/>
      <c r="G10" s="8" t="inlineStr"/>
    </row>
    <row r="11" ht="32" customHeight="1">
      <c r="A11" s="7" t="inlineStr">
        <is>
          <t>2026-10-04</t>
        </is>
      </c>
      <c r="B11" s="7" t="inlineStr">
        <is>
          <t>1.0</t>
        </is>
      </c>
      <c r="C11" s="7" t="inlineStr">
        <is>
          <t>HTML ダッシュボードの必要列、APDEX 既定、親サンプルはオフを推奨、という記載。</t>
        </is>
      </c>
      <c r="D11" s="7" t="inlineStr">
        <is>
          <t>https://jmeter.apache.org/usermanual/generating-dashboard.html</t>
        </is>
      </c>
      <c r="E11" s="7" t="inlineStr"/>
      <c r="F11" s="7" t="inlineStr"/>
      <c r="G11" s="7" t="inlineStr"/>
    </row>
    <row r="12" ht="44" customHeight="1">
      <c r="A12" s="8" t="inlineStr">
        <is>
          <t>2026-10-04</t>
        </is>
      </c>
      <c r="B12" s="8" t="inlineStr">
        <is>
          <t>1.1</t>
        </is>
      </c>
      <c r="C12" s="8" t="inlineStr">
        <is>
          <t>Cognito の /oauth2/token へ client_credentials。Authorization は Basic と Base64(client_id:client_secret)。本体は form。</t>
        </is>
      </c>
      <c r="D12" s="8" t="inlineStr">
        <is>
          <t>https://docs.aws.amazon.com/cognito/latest/developerguide/token-endpoint.html</t>
        </is>
      </c>
      <c r="E12" s="8" t="inlineStr"/>
      <c r="F12" s="8" t="inlineStr"/>
      <c r="G12" s="8" t="inlineStr"/>
    </row>
    <row r="13" ht="32" customHeight="1">
      <c r="A13" s="7" t="inlineStr">
        <is>
          <t>2026-10-04</t>
        </is>
      </c>
      <c r="B13" s="7" t="inlineStr">
        <is>
          <t>1.1</t>
        </is>
      </c>
      <c r="C13" s="7" t="inlineStr">
        <is>
          <t>Base64 は java.util.Base64。JMeter 5.6.3 の関数一覧に Base64 関数は無い。-q は重複可。</t>
        </is>
      </c>
      <c r="D13" s="7" t="inlineStr">
        <is>
          <t>https://jmeter.apache.org/usermanual/functions.html</t>
        </is>
      </c>
      <c r="E13" s="7" t="inlineStr"/>
      <c r="F13" s="7" t="inlineStr"/>
      <c r="G13" s="7" t="inlineStr"/>
    </row>
    <row r="14" ht="44" customHeight="1">
      <c r="A14" s="8" t="inlineStr">
        <is>
          <t>2026-10-04</t>
        </is>
      </c>
      <c r="B14" s="8" t="inlineStr">
        <is>
          <t>1.1</t>
        </is>
      </c>
      <c r="C14" s="8" t="inlineStr">
        <is>
          <t>setUp は通常スレッドより前。ヘッダは同名なら後のものが置き換わる。JSON Extractor の Match No. 空欄は 0（ランダム）。正規表現のテンプレートは $1$。</t>
        </is>
      </c>
      <c r="D14" s="8" t="inlineStr">
        <is>
          <t>https://jmeter.apache.org/usermanual/component_reference.html</t>
        </is>
      </c>
      <c r="E14" s="8" t="inlineStr"/>
      <c r="F14" s="8" t="inlineStr"/>
      <c r="G14" s="8" t="inlineStr"/>
    </row>
    <row r="15" ht="32" customHeight="1">
      <c r="A15" s="7" t="inlineStr">
        <is>
          <t>2026-10-04</t>
        </is>
      </c>
      <c r="B15" s="7" t="inlineStr">
        <is>
          <t>1.1</t>
        </is>
      </c>
      <c r="C15" s="7" t="inlineStr">
        <is>
          <t>API キーの公式例はヘッダ X-API-Key。手順の記入例 X-API-ID は合意がある現場用。名前だけ変える。</t>
        </is>
      </c>
      <c r="D15" s="7" t="inlineStr">
        <is>
          <t>https://docs.aws.amazon.com/apigateway/latest/developerguide/api-gateway-api-key-call.html</t>
        </is>
      </c>
      <c r="E15" s="7" t="inlineStr"/>
      <c r="F15" s="7" t="inlineStr"/>
      <c r="G15" s="7" t="inlineStr"/>
    </row>
    <row r="17" ht="44" customHeight="1">
      <c r="A17" s="18" t="inlineStr">
        <is>
          <t>プラグイン（Plugins Manager）は Apache JMeter 本体の外にある。使うときだけ 11 の手順に戻り、入れた jar のファイル名をこの履歴の次の行へ手で追記する。
日本語のメニュー名は、JMeter 5.6.3 の messages_ja.properties の、ファイル、編集、実行、オプション、追加、スレッドグループ、結果をツリーで表示、統計レポート、応答アサーション、定数タイマ、一様乱数タイマ、トランザクションコントローラ、一度だけ実行されるコントローラ、を確認した。HTTP リクエストなど一部は画面で英語のままのことがあるので、手順は英語名を併記している。</t>
        </is>
      </c>
      <c r="B17" s="18" t="n"/>
      <c r="C17" s="18" t="n"/>
      <c r="D17" s="18" t="n"/>
      <c r="E17" s="18" t="n"/>
      <c r="F17" s="18" t="n"/>
      <c r="G17" s="18" t="n"/>
    </row>
  </sheetData>
  <mergeCells count="6">
    <mergeCell ref="A1:G1"/>
    <mergeCell ref="A17:G17"/>
    <mergeCell ref="A3:G3"/>
    <mergeCell ref="A4:G4"/>
    <mergeCell ref="A2:G2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G49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認証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Cognito でトークンを取り、API Gateway へ渡す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12 の /api/login は画面の練習。現場のクライアント認証は、この 34 から 39 の木に組み替える。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知りたいことと、開くシート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知りたいこと</t>
        </is>
      </c>
      <c r="B7" s="6" t="inlineStr">
        <is>
          <t>開くシート</t>
        </is>
      </c>
      <c r="C7" s="6" t="inlineStr">
        <is>
          <t>このシートで分かること</t>
        </is>
      </c>
      <c r="D7" s="6" t="inlineStr">
        <is>
          <t>終了の目安</t>
        </is>
      </c>
      <c r="E7" s="6" t="inlineStr"/>
      <c r="F7" s="6" t="inlineStr"/>
      <c r="G7" s="6" t="inlineStr"/>
    </row>
    <row r="8" ht="32" customHeight="1">
      <c r="A8" s="7" t="inlineStr">
        <is>
          <t>JMeter の取得、インストール、初期設定</t>
        </is>
      </c>
      <c r="B8" s="7" t="inlineStr">
        <is>
          <t>05 から 08</t>
        </is>
      </c>
      <c r="C8" s="7" t="inlineStr">
        <is>
          <t>Java 17、zip、展開、setenv、user.properties。</t>
        </is>
      </c>
      <c r="D8" s="7" t="inlineStr">
        <is>
          <t>jmeter.bat で窓が開く。</t>
        </is>
      </c>
      <c r="E8" s="7" t="inlineStr"/>
      <c r="F8" s="7" t="inlineStr"/>
      <c r="G8" s="7" t="inlineStr"/>
    </row>
    <row r="9" ht="32" customHeight="1">
      <c r="A9" s="8" t="inlineStr">
        <is>
          <t>要素の追加と、各機能の意味</t>
        </is>
      </c>
      <c r="B9" s="8" t="inlineStr">
        <is>
          <t>10 と 11</t>
        </is>
      </c>
      <c r="C9" s="8" t="inlineStr">
        <is>
          <t>右クリックの追加。負荷試験で無効にするもの。</t>
        </is>
      </c>
      <c r="D9" s="8" t="inlineStr">
        <is>
          <t>カタログで名前が引ける。</t>
        </is>
      </c>
      <c r="E9" s="8" t="inlineStr"/>
      <c r="F9" s="8" t="inlineStr"/>
      <c r="G9" s="8" t="inlineStr"/>
    </row>
    <row r="10" ht="32" customHeight="1">
      <c r="A10" s="7" t="inlineStr">
        <is>
          <t>画面でシナリオを作る</t>
        </is>
      </c>
      <c r="B10" s="7" t="inlineStr">
        <is>
          <t>09、12、そして 35</t>
        </is>
      </c>
      <c r="C10" s="7" t="inlineStr">
        <is>
          <t>12 は練習。Cognito の完成手順は 35。</t>
        </is>
      </c>
      <c r="D10" s="7" t="inlineStr">
        <is>
          <t>左の木がこのシートの木と一致する。</t>
        </is>
      </c>
      <c r="E10" s="7" t="inlineStr"/>
      <c r="F10" s="7" t="inlineStr"/>
      <c r="G10" s="7" t="inlineStr"/>
    </row>
    <row r="11" ht="32" customHeight="1">
      <c r="A11" s="8" t="inlineStr">
        <is>
          <t>画面で 1 人だけ実行する</t>
        </is>
      </c>
      <c r="B11" s="8" t="inlineStr">
        <is>
          <t>14 と 35 の実行節</t>
        </is>
      </c>
      <c r="C11" s="8" t="inlineStr">
        <is>
          <t>緑の三角。プロパティは -q 付きで GUI を起動して渡す。</t>
        </is>
      </c>
      <c r="D11" s="8" t="inlineStr">
        <is>
          <t>トークン取得が緑、業務 API が緑。</t>
        </is>
      </c>
      <c r="E11" s="8" t="inlineStr"/>
      <c r="F11" s="8" t="inlineStr"/>
      <c r="G11" s="8" t="inlineStr"/>
    </row>
    <row r="12" ht="32" customHeight="1">
      <c r="A12" s="7" t="inlineStr">
        <is>
          <t>結果の見方、確認観点、注意</t>
        </is>
      </c>
      <c r="B12" s="7" t="inlineStr">
        <is>
          <t>15、16、20、21、35</t>
        </is>
      </c>
      <c r="C12" s="7" t="inlineStr">
        <is>
          <t>GUI の数字は提出値にしない。秘密は図に撮らない。</t>
        </is>
      </c>
      <c r="D12" s="7" t="inlineStr">
        <is>
          <t>観点の表を上から見て落ちが無い。</t>
        </is>
      </c>
      <c r="E12" s="7" t="inlineStr"/>
      <c r="F12" s="7" t="inlineStr"/>
      <c r="G12" s="7" t="inlineStr"/>
    </row>
    <row r="13" ht="32" customHeight="1">
      <c r="A13" s="8" t="inlineStr">
        <is>
          <t>Cognito のトークンエンドポイント</t>
        </is>
      </c>
      <c r="B13" s="8" t="inlineStr">
        <is>
          <t>35</t>
        </is>
      </c>
      <c r="C13" s="8" t="inlineStr">
        <is>
          <t>POST /oauth2/token。ホストは amazoncognito.com 側。</t>
        </is>
      </c>
      <c r="D13" s="8" t="inlineStr">
        <is>
          <t>応答 200 で access_token がある。</t>
        </is>
      </c>
      <c r="E13" s="8" t="inlineStr"/>
      <c r="F13" s="8" t="inlineStr"/>
      <c r="G13" s="8" t="inlineStr"/>
    </row>
    <row r="14" ht="32" customHeight="1">
      <c r="A14" s="7" t="inlineStr">
        <is>
          <t>client_id と client_secret の Base64</t>
        </is>
      </c>
      <c r="B14" s="7" t="inlineStr">
        <is>
          <t>36</t>
        </is>
      </c>
      <c r="C14" s="7" t="inlineStr">
        <is>
          <t>Authorization: Basic。java.util.Base64。</t>
        </is>
      </c>
      <c r="D14" s="7" t="inlineStr">
        <is>
          <t>公開例の文字列と PowerShell の結果が一致する。</t>
        </is>
      </c>
      <c r="E14" s="7" t="inlineStr"/>
      <c r="F14" s="7" t="inlineStr"/>
      <c r="G14" s="7" t="inlineStr"/>
    </row>
    <row r="15" ht="32" customHeight="1">
      <c r="A15" s="8" t="inlineStr">
        <is>
          <t>アクセストークンの保持</t>
        </is>
      </c>
      <c r="B15" s="8" t="inlineStr">
        <is>
          <t>37</t>
        </is>
      </c>
      <c r="C15" s="8" t="inlineStr">
        <is>
          <t>JSON Extractor のあと、プロパティへコピーする。</t>
        </is>
      </c>
      <c r="D15" s="8" t="inlineStr">
        <is>
          <t>業務側が ${__P(access_token)} を使う。</t>
        </is>
      </c>
      <c r="E15" s="8" t="inlineStr"/>
      <c r="F15" s="8" t="inlineStr"/>
      <c r="G15" s="8" t="inlineStr"/>
    </row>
    <row r="16" ht="32" customHeight="1">
      <c r="A16" s="7" t="inlineStr">
        <is>
          <t>正規表現抽出</t>
        </is>
      </c>
      <c r="B16" s="7" t="inlineStr">
        <is>
          <t>38</t>
        </is>
      </c>
      <c r="C16" s="7" t="inlineStr">
        <is>
          <t>各欄、Regexp Tester、トークン用の式。</t>
        </is>
      </c>
      <c r="D16" s="7" t="inlineStr">
        <is>
          <t>Match 1 の group 1 がトークン本体になる。</t>
        </is>
      </c>
      <c r="E16" s="7" t="inlineStr"/>
      <c r="F16" s="7" t="inlineStr"/>
      <c r="G16" s="7" t="inlineStr"/>
    </row>
    <row r="17" ht="32" customHeight="1">
      <c r="A17" s="8" t="inlineStr">
        <is>
          <t>API Gateway へ API キーをヘッダで渡す</t>
        </is>
      </c>
      <c r="B17" s="8" t="inlineStr">
        <is>
          <t>39</t>
        </is>
      </c>
      <c r="C17" s="8" t="inlineStr">
        <is>
          <t>合意が X-API-ID ならその名前。利用プランの標準は X-API-Key。</t>
        </is>
      </c>
      <c r="D17" s="8" t="inlineStr">
        <is>
          <t>業務リクエストにだけ付く。Cognito には付かない。</t>
        </is>
      </c>
      <c r="E17" s="8" t="inlineStr"/>
      <c r="F17" s="8" t="inlineStr"/>
      <c r="G17" s="8" t="inlineStr"/>
    </row>
    <row r="18" ht="32" customHeight="1">
      <c r="A18" s="7" t="inlineStr">
        <is>
          <t>実行サーバへの転送と配置</t>
        </is>
      </c>
      <c r="B18" s="7" t="inlineStr">
        <is>
          <t>17、18、35 の転送節</t>
        </is>
      </c>
      <c r="C18" s="7" t="inlineStr">
        <is>
          <t>jmx、load.properties、secrets.properties、run-api.sh。</t>
        </is>
      </c>
      <c r="D18" s="7" t="inlineStr">
        <is>
          <t>サーバで 4 ファイルのサイズが 0 でない。</t>
        </is>
      </c>
      <c r="E18" s="7" t="inlineStr"/>
      <c r="F18" s="7" t="inlineStr"/>
      <c r="G18" s="7" t="inlineStr"/>
    </row>
    <row r="19" ht="32" customHeight="1">
      <c r="A19" s="8" t="inlineStr">
        <is>
          <t>CLI、jmx、jtl、ログの指定</t>
        </is>
      </c>
      <c r="B19" s="8" t="inlineStr">
        <is>
          <t>19、21、30、31、35</t>
        </is>
      </c>
      <c r="C19" s="8" t="inlineStr">
        <is>
          <t>-n -t -l -j -q -q -e -o。html-report は先に作らない。</t>
        </is>
      </c>
      <c r="D19" s="8" t="inlineStr">
        <is>
          <t>結果ディレクトリのパスが表示される。</t>
        </is>
      </c>
      <c r="E19" s="8" t="inlineStr"/>
      <c r="F19" s="8" t="inlineStr"/>
      <c r="G19" s="8" t="inlineStr"/>
    </row>
    <row r="20" ht="32" customHeight="1">
      <c r="A20" s="7" t="inlineStr">
        <is>
          <t>端末で Excel に読む</t>
        </is>
      </c>
      <c r="B20" s="7" t="inlineStr">
        <is>
          <t>22 と 23</t>
        </is>
      </c>
      <c r="C20" s="7" t="inlineStr">
        <is>
          <t>フォルダごと戻す。正本は statistics.json。</t>
        </is>
      </c>
      <c r="D20" s="7" t="inlineStr">
        <is>
          <t>業務の label の行がシートに出る。</t>
        </is>
      </c>
      <c r="E20" s="7" t="inlineStr"/>
      <c r="F20" s="7" t="inlineStr"/>
      <c r="G20" s="7" t="inlineStr"/>
    </row>
    <row r="21" ht="32" customHeight="1">
      <c r="A21" s="8" t="inlineStr">
        <is>
          <t>Excel で結果と見込みを書く</t>
        </is>
      </c>
      <c r="B21" s="8" t="inlineStr">
        <is>
          <t>24、25、26、27、このシートの末尾</t>
        </is>
      </c>
      <c r="C21" s="8" t="inlineStr">
        <is>
          <t>トークン取得の 1 件を性能表に混ぜない。</t>
        </is>
      </c>
      <c r="D21" s="8" t="inlineStr">
        <is>
          <t>26 の総合判定と見込みの文章がある。</t>
        </is>
      </c>
      <c r="E21" s="8" t="inlineStr"/>
      <c r="F21" s="8" t="inlineStr"/>
      <c r="G21" s="8" t="inlineStr"/>
    </row>
    <row r="23" ht="24" customHeight="1">
      <c r="A23" s="5" t="inlineStr">
        <is>
          <t>リクエストは 2 本。ホストが違う</t>
        </is>
      </c>
      <c r="B23" s="5" t="n"/>
      <c r="C23" s="5" t="n"/>
      <c r="D23" s="5" t="n"/>
      <c r="E23" s="5" t="n"/>
      <c r="F23" s="5" t="n"/>
      <c r="G23" s="5" t="n"/>
    </row>
    <row r="24" ht="48" customHeight="1">
      <c r="A24" s="20" t="inlineStr">
        <is>
          <t>1 本目は Cognito のトークンエンドポイント。マシン同士のクライアント認証（client_credentials）で、access_token を 1 回だけもらう。2 本目はそのトークンと API キーを付けて、API Gateway の業務 API を、合意した人数で叩く。ホストが違うので、HTTPリクエスト初期値をテスト計画の直下に置くと、トークン取得まで API Gateway へ飛んでしまう。初期値は TG_業務 の中に置く。トークン取得のリクエストには、プロトコル、サーバ、ポートを自分で書く。</t>
        </is>
      </c>
      <c r="B24" s="20" t="n"/>
      <c r="C24" s="20" t="n"/>
      <c r="D24" s="20" t="n"/>
      <c r="E24" s="20" t="n"/>
      <c r="F24" s="20" t="n"/>
      <c r="G24" s="20" t="n"/>
    </row>
    <row r="25" ht="28" customHeight="1">
      <c r="A25" s="6" t="inlineStr"/>
      <c r="B25" s="6" t="inlineStr">
        <is>
          <t>1 本目 トークン</t>
        </is>
      </c>
      <c r="C25" s="6" t="inlineStr">
        <is>
          <t>2 本目 業務 API</t>
        </is>
      </c>
      <c r="D25" s="6" t="inlineStr">
        <is>
          <t>置いてよいもの</t>
        </is>
      </c>
      <c r="E25" s="6" t="inlineStr">
        <is>
          <t>置いてはいけないもの</t>
        </is>
      </c>
      <c r="F25" s="6" t="inlineStr"/>
      <c r="G25" s="6" t="inlineStr"/>
    </row>
    <row r="26" ht="32" customHeight="1">
      <c r="A26" s="7" t="inlineStr">
        <is>
          <t>ホストの例</t>
        </is>
      </c>
      <c r="B26" s="7" t="inlineStr">
        <is>
          <t>example.auth.ap-northeast-1.amazoncognito.com</t>
        </is>
      </c>
      <c r="C26" s="7" t="inlineStr">
        <is>
          <t>abc123def.execute-api.ap-northeast-1.amazonaws.com</t>
        </is>
      </c>
      <c r="D26" s="7" t="inlineStr">
        <is>
          <t>プロパティ cognito.host と api.host</t>
        </is>
      </c>
      <c r="E26" s="7" t="inlineStr">
        <is>
          <t>jmx への本番ホストの直書き。例の example のままの実行</t>
        </is>
      </c>
      <c r="F26" s="7" t="inlineStr"/>
      <c r="G26" s="7" t="inlineStr"/>
    </row>
    <row r="27" ht="32" customHeight="1">
      <c r="A27" s="8" t="inlineStr">
        <is>
          <t>パス</t>
        </is>
      </c>
      <c r="B27" s="8" t="inlineStr">
        <is>
          <t>/oauth2/token</t>
        </is>
      </c>
      <c r="C27" s="8" t="inlineStr">
        <is>
          <t>/${__P(api.stage,prod)}/orders</t>
        </is>
      </c>
      <c r="D27" s="8" t="inlineStr">
        <is>
          <t>ステージ名はプロパティ</t>
        </is>
      </c>
      <c r="E27" s="8" t="inlineStr">
        <is>
          <t>トークン取得にステージのパスを付ける</t>
        </is>
      </c>
      <c r="F27" s="8" t="inlineStr"/>
      <c r="G27" s="8" t="inlineStr"/>
    </row>
    <row r="28" ht="32" customHeight="1">
      <c r="A28" s="7" t="inlineStr">
        <is>
          <t>メソッドと本体</t>
        </is>
      </c>
      <c r="B28" s="7" t="inlineStr">
        <is>
          <t>POST。パラメータ表に grant_type と scope</t>
        </is>
      </c>
      <c r="C28" s="7" t="inlineStr">
        <is>
          <t>合意したメソッド。例は GET</t>
        </is>
      </c>
      <c r="D28" s="7" t="inlineStr">
        <is>
          <t>Content-Type はリクエストごとのヘッダ</t>
        </is>
      </c>
      <c r="E28" s="7" t="inlineStr">
        <is>
          <t>テスト計画直下の共通 Content-Type。JSON と form が混ざる</t>
        </is>
      </c>
      <c r="F28" s="7" t="inlineStr"/>
      <c r="G28" s="7" t="inlineStr"/>
    </row>
    <row r="29" ht="32" customHeight="1">
      <c r="A29" s="8" t="inlineStr">
        <is>
          <t>認証</t>
        </is>
      </c>
      <c r="B29" s="8" t="inlineStr">
        <is>
          <t>Authorization: Basic と Base64</t>
        </is>
      </c>
      <c r="C29" s="8" t="inlineStr">
        <is>
          <t>Authorization: Bearer とアクセストークン</t>
        </is>
      </c>
      <c r="D29" s="8" t="inlineStr">
        <is>
          <t>Basic は setUp の子だけ</t>
        </is>
      </c>
      <c r="E29" s="8" t="inlineStr">
        <is>
          <t>業務側に Basic。トークン側に Bearer</t>
        </is>
      </c>
      <c r="F29" s="8" t="inlineStr"/>
      <c r="G29" s="8" t="inlineStr"/>
    </row>
    <row r="30" ht="32" customHeight="1">
      <c r="A30" s="7" t="inlineStr">
        <is>
          <t>API キー</t>
        </is>
      </c>
      <c r="B30" s="7" t="inlineStr">
        <is>
          <t>付けない</t>
        </is>
      </c>
      <c r="C30" s="7" t="inlineStr">
        <is>
          <t>ヘッダ X-API-ID（合意が標準なら X-API-Key）</t>
        </is>
      </c>
      <c r="D30" s="7" t="inlineStr">
        <is>
          <t>値は ${__P(api_key)}</t>
        </is>
      </c>
      <c r="E30" s="7" t="inlineStr">
        <is>
          <t>キーの直書き。トークン取得への付与</t>
        </is>
      </c>
      <c r="F30" s="7" t="inlineStr"/>
      <c r="G30" s="7" t="inlineStr"/>
    </row>
    <row r="31" ht="32" customHeight="1">
      <c r="A31" s="8" t="inlineStr">
        <is>
          <t>回数</t>
        </is>
      </c>
      <c r="B31" s="8" t="inlineStr">
        <is>
          <t>試験全体で 1 回（setUp、スレッド 1、ループ 1）</t>
        </is>
      </c>
      <c r="C31" s="8" t="inlineStr">
        <is>
          <t>スレッド数 × 持続時間のあいだ繰り返し</t>
        </is>
      </c>
      <c r="D31" s="8" t="inlineStr">
        <is>
          <t>setUp の人数は 1 の直書き</t>
        </is>
      </c>
      <c r="E31" s="8" t="inlineStr">
        <is>
          <t>setUp に ${__P(threads,1)}。50 人で Cognito を 50 回叩く</t>
        </is>
      </c>
      <c r="F31" s="8" t="inlineStr"/>
      <c r="G31" s="8" t="inlineStr"/>
    </row>
    <row r="33" ht="24" customHeight="1">
      <c r="A33" s="5" t="inlineStr">
        <is>
          <t>完成した木</t>
        </is>
      </c>
      <c r="B33" s="5" t="n"/>
      <c r="C33" s="5" t="n"/>
      <c r="D33" s="5" t="n"/>
      <c r="E33" s="5" t="n"/>
      <c r="F33" s="5" t="n"/>
      <c r="G33" s="5" t="n"/>
    </row>
    <row r="34" ht="249" customHeight="1">
      <c r="A34" s="7" t="inlineStr">
        <is>
          <t>テスト計画 業務API
  setUp スレッドグループ SU_トークン          … 人数は 1 の直書き。-Jthreads では増やさない
    HTTPリクエスト HTTP_POST_cognito_token   … ホストは Cognito。API Gateway の初期値は継承しない
      JSR223 PreProcessor PP_basicを作る     … client_id:client_secret を Base64 にし、変数へ入れる
      HTTPヘッダマネージャ HM_トークン         … Content-Type と Authorization: Basic ${basic_credentials}
      JSON Extractor EX_access_token          … $.access_token と $.expires_in
      JSR223 PostProcessor PP_トークンを全体へ … 変数をプロパティ access_token にコピーする
      応答アサーション                          … 応答コードが 200 と等しい
  スレッドグループ TG_業務                     … 人数は ${__P(threads,1)}
    HTTPリクエスト初期値                        … API Gateway のホスト。このグループの中だけ
    トランザクションコントローラ TX_業務
      HTTPリクエスト HTTP_GET_orders
        HTTPヘッダマネージャ HM_API            … Bearer ${__P(access_token)} と X-API-ID
        応答アサーション                        … 応答コードが 200 と等しい
      一様乱数タイマ
  結果をツリーで表示                            … デバッグ中だけ有効。CLI の前に無効</t>
        </is>
      </c>
      <c r="B34" s="7" t="n"/>
      <c r="C34" s="7" t="n"/>
      <c r="D34" s="7" t="n"/>
      <c r="E34" s="7" t="n"/>
      <c r="F34" s="7" t="n"/>
      <c r="G34" s="7" t="n"/>
    </row>
    <row r="35" ht="22" customHeight="1">
      <c r="A35" s="14" t="inlineStr">
        <is>
          <t>IMG-40    画像差し込み枠    Cognito と API Gateway を分けた左のツリー</t>
        </is>
      </c>
      <c r="B35" s="14" t="n"/>
      <c r="C35" s="14" t="n"/>
      <c r="D35" s="14" t="n"/>
      <c r="E35" s="14" t="n"/>
      <c r="F35" s="14" t="n"/>
      <c r="G35" s="14" t="n"/>
    </row>
    <row r="36" ht="148" customHeight="1">
      <c r="A3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35 の手順が終わって保存する直前。
画角: setUp と TG_業務の親子が、折りたたまない状態で読める。ヘッダの値、トークン、API キーは写さない。
文章は図の下に隠れてもよい。どの図かは 32_画像台帳 の IMG-40 を見る。</t>
        </is>
      </c>
      <c r="B36" s="15" t="n"/>
      <c r="C36" s="15" t="n"/>
      <c r="D36" s="15" t="n"/>
      <c r="E36" s="15" t="n"/>
      <c r="F36" s="15" t="n"/>
      <c r="G36" s="15" t="n"/>
    </row>
    <row r="37" ht="22" customHeight="1">
      <c r="A37" s="14" t="inlineStr">
        <is>
          <t>IMG-41    画像差し込み枠    端末、JMeter 実行サーバ、Cognito、API Gateway の配置</t>
        </is>
      </c>
      <c r="B37" s="14" t="n"/>
      <c r="C37" s="14" t="n"/>
      <c r="D37" s="14" t="n"/>
      <c r="E37" s="14" t="n"/>
      <c r="F37" s="14" t="n"/>
      <c r="G37" s="14" t="n"/>
    </row>
    <row r="38" ht="148" customHeight="1">
      <c r="A38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自分の現場のホスト名に置き換えたあと。
画角: 矢印は 3 本。jmx を実行サーバへ送る、実行サーバが Cognito と API Gateway を叩く、jtl を端末へ戻す。秘密の値は図に書かない。
文章は図の下に隠れてもよい。どの図かは 32_画像台帳 の IMG-41 を見る。</t>
        </is>
      </c>
      <c r="B38" s="15" t="n"/>
      <c r="C38" s="15" t="n"/>
      <c r="D38" s="15" t="n"/>
      <c r="E38" s="15" t="n"/>
      <c r="F38" s="15" t="n"/>
      <c r="G38" s="15" t="n"/>
    </row>
    <row r="39" ht="24" customHeight="1">
      <c r="A39" s="5" t="inlineStr">
        <is>
          <t>秘密の置き場所</t>
        </is>
      </c>
      <c r="B39" s="5" t="n"/>
      <c r="C39" s="5" t="n"/>
      <c r="D39" s="5" t="n"/>
      <c r="E39" s="5" t="n"/>
      <c r="F39" s="5" t="n"/>
      <c r="G39" s="5" t="n"/>
    </row>
    <row r="40" ht="28" customHeight="1">
      <c r="A40" s="6" t="inlineStr">
        <is>
          <t>置き場所</t>
        </is>
      </c>
      <c r="B40" s="6" t="inlineStr">
        <is>
          <t>入れてよいもの</t>
        </is>
      </c>
      <c r="C40" s="6" t="inlineStr">
        <is>
          <t>入れてはいけないもの</t>
        </is>
      </c>
      <c r="D40" s="6" t="inlineStr">
        <is>
          <t>理由</t>
        </is>
      </c>
      <c r="E40" s="6" t="inlineStr"/>
      <c r="F40" s="6" t="inlineStr"/>
      <c r="G40" s="6" t="inlineStr"/>
    </row>
    <row r="41" ht="32" customHeight="1">
      <c r="A41" s="7" t="inlineStr">
        <is>
          <t>secrets.properties</t>
        </is>
      </c>
      <c r="B41" s="7" t="inlineStr">
        <is>
          <t>client_id、client_secret、api_key</t>
        </is>
      </c>
      <c r="C41" s="7" t="inlineStr">
        <is>
          <t>スレッド数、ホストの説明文</t>
        </is>
      </c>
      <c r="D41" s="7" t="inlineStr">
        <is>
          <t>実行のたびに -q で渡す。ファイル権限は 600。</t>
        </is>
      </c>
      <c r="E41" s="7" t="inlineStr"/>
      <c r="F41" s="7" t="inlineStr"/>
      <c r="G41" s="7" t="inlineStr"/>
    </row>
    <row r="42" ht="32" customHeight="1">
      <c r="A42" s="8" t="inlineStr">
        <is>
          <t>load.properties</t>
        </is>
      </c>
      <c r="B42" s="8" t="inlineStr">
        <is>
          <t>ホスト、ステージ、scope</t>
        </is>
      </c>
      <c r="C42" s="8" t="inlineStr">
        <is>
          <t>client_secret、api_key</t>
        </is>
      </c>
      <c r="D42" s="8" t="inlineStr">
        <is>
          <t>シナリオの説明用と秘密を分ける。キー名を secrets と重ねない。</t>
        </is>
      </c>
      <c r="E42" s="8" t="inlineStr"/>
      <c r="F42" s="8" t="inlineStr"/>
      <c r="G42" s="8" t="inlineStr"/>
    </row>
    <row r="43" ht="32" customHeight="1">
      <c r="A43" s="7" t="inlineStr">
        <is>
          <t>jmx</t>
        </is>
      </c>
      <c r="B43" s="7" t="inlineStr">
        <is>
          <t>${__P(client_id)} などの式</t>
        </is>
      </c>
      <c r="C43" s="7" t="inlineStr">
        <is>
          <t>秘密の実値、完成した Base64</t>
        </is>
      </c>
      <c r="D43" s="7" t="inlineStr">
        <is>
          <t>jmx は人の手に渡る。式なら実値はファイルに残らない。</t>
        </is>
      </c>
      <c r="E43" s="7" t="inlineStr"/>
      <c r="F43" s="7" t="inlineStr"/>
      <c r="G43" s="7" t="inlineStr"/>
    </row>
    <row r="44" ht="32" customHeight="1">
      <c r="A44" s="8" t="inlineStr">
        <is>
          <t>jmeter.log</t>
        </is>
      </c>
      <c r="B44" s="8" t="inlineStr">
        <is>
          <t>basic_credentials と access_token の文字数</t>
        </is>
      </c>
      <c r="C44" s="8" t="inlineStr">
        <is>
          <t>トークン文字列、API キー、client_secret</t>
        </is>
      </c>
      <c r="D44" s="8" t="inlineStr">
        <is>
          <t>結果フォルダごと端末へ戻すため、ログに秘密があると配布範囲が広がる。</t>
        </is>
      </c>
      <c r="E44" s="8" t="inlineStr"/>
      <c r="F44" s="8" t="inlineStr"/>
      <c r="G44" s="8" t="inlineStr"/>
    </row>
    <row r="45" ht="32" customHeight="1">
      <c r="A45" s="7" t="inlineStr">
        <is>
          <t>run-conditions.txt と 26</t>
        </is>
      </c>
      <c r="B45" s="7" t="inlineStr">
        <is>
          <t>ヘッダ名、setUp で 1 回、という事実</t>
        </is>
      </c>
      <c r="C45" s="7" t="inlineStr">
        <is>
          <t>ヘッダの値</t>
        </is>
      </c>
      <c r="D45" s="7" t="inlineStr">
        <is>
          <t>提出物を見る人は、キーそのものを必要としない。</t>
        </is>
      </c>
      <c r="E45" s="7" t="inlineStr"/>
      <c r="F45" s="7" t="inlineStr"/>
      <c r="G45" s="7" t="inlineStr"/>
    </row>
    <row r="46" ht="32" customHeight="1">
      <c r="A46" s="8" t="inlineStr">
        <is>
          <t>スクリーンショット</t>
        </is>
      </c>
      <c r="B46" s="8" t="inlineStr">
        <is>
          <t>欄の名前、式、応答コード 200</t>
        </is>
      </c>
      <c r="C46" s="8" t="inlineStr">
        <is>
          <t>Authorization の値、Response data のトークン</t>
        </is>
      </c>
      <c r="D46" s="8" t="inlineStr">
        <is>
          <t>図は 32 の枠へ後から入る。値が写った図は提出しない。</t>
        </is>
      </c>
      <c r="E46" s="8" t="inlineStr"/>
      <c r="F46" s="8" t="inlineStr"/>
      <c r="G46" s="8" t="inlineStr"/>
    </row>
    <row r="48" ht="24" customHeight="1">
      <c r="A48" s="5" t="inlineStr">
        <is>
          <t>Excel の報告で、トークン取得を性能に混ぜない</t>
        </is>
      </c>
      <c r="B48" s="5" t="n"/>
      <c r="C48" s="5" t="n"/>
      <c r="D48" s="5" t="n"/>
      <c r="E48" s="5" t="n"/>
      <c r="F48" s="5" t="n"/>
      <c r="G48" s="5" t="n"/>
    </row>
    <row r="49" ht="62" customHeight="1">
      <c r="A49" s="20" t="inlineStr">
        <is>
          <t>statistics.json には HTTP_POST_cognito_token と、業務の label（例: HTTP_GET_orders）が出る。トークン取得は setUp の 1 件なので、平均も 95% 値も性能の合格判定に使わない。26 の取引表に貼るのは業務の label だけ。トークン取得は、条件欄に次の 3 つを文章で書く。setUp で 1 回、応答コード 200、応答の expires_in が試験の持続秒より長い。401 はトークン側（期限、Bearer、scope）の候補、403 は API キー側（ヘッダ名、値、利用プラン、ステージ）の候補として、エラー内訳に件数を分ける。見込みに書いてよいのは、業務 API を人数で測った範囲だけ。Cognito の余力は、この手順では測っていない。</t>
        </is>
      </c>
      <c r="B49" s="20" t="n"/>
      <c r="C49" s="20" t="n"/>
      <c r="D49" s="20" t="n"/>
      <c r="E49" s="20" t="n"/>
      <c r="F49" s="20" t="n"/>
      <c r="G49" s="20" t="n"/>
    </row>
  </sheetData>
  <mergeCells count="17">
    <mergeCell ref="A36:G36"/>
    <mergeCell ref="A1:G1"/>
    <mergeCell ref="A3:G3"/>
    <mergeCell ref="A6:G6"/>
    <mergeCell ref="A37:G37"/>
    <mergeCell ref="A34:G34"/>
    <mergeCell ref="A35:G35"/>
    <mergeCell ref="A4:G4"/>
    <mergeCell ref="A39:G39"/>
    <mergeCell ref="A48:G48"/>
    <mergeCell ref="A24:G24"/>
    <mergeCell ref="A2:G2"/>
    <mergeCell ref="A38:G38"/>
    <mergeCell ref="A33:G33"/>
    <mergeCell ref="A49:G49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120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手順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トークン取得から業務リクエストまで、クリック順に作る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保存先は C:\LoadTest\scenarios\api-gateway\api-gateway.jmx。12 の order-search.jmx は上書きしない。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32" customHeight="1">
      <c r="A6" s="25" t="inlineStr">
        <is>
          <t>前提は 05 から 10 が終わっていること。公式のトークンエンドポイントは HTTPS の POST /oauth2/token だけ。クライアント認証の応答は JSON で、access_token、token_type（Bearer）、expires_in（秒）が入る。id_token と refresh_token は、この grant_type では返らない。Base64 の各欄は 36、変数とプロパティの違いは 37、正規表現で同じ値を抜く練習は 38、API キーのヘッダ名は 39。</t>
        </is>
      </c>
      <c r="B6" s="25" t="n"/>
      <c r="C6" s="25" t="n"/>
      <c r="D6" s="25" t="n"/>
      <c r="E6" s="25" t="n"/>
      <c r="F6" s="25" t="n"/>
      <c r="G6" s="25" t="n"/>
    </row>
    <row r="7" ht="24" customHeight="1">
      <c r="A7" s="5" t="inlineStr">
        <is>
          <t>A. フォルダとプロパティ</t>
        </is>
      </c>
      <c r="B7" s="5" t="n"/>
      <c r="C7" s="5" t="n"/>
      <c r="D7" s="5" t="n"/>
      <c r="E7" s="5" t="n"/>
      <c r="F7" s="5" t="n"/>
      <c r="G7" s="5" t="n"/>
    </row>
    <row r="8" ht="28" customHeight="1">
      <c r="A8" s="6" t="inlineStr">
        <is>
          <t>手順</t>
        </is>
      </c>
      <c r="B8" s="6" t="inlineStr">
        <is>
          <t>どこで</t>
        </is>
      </c>
      <c r="C8" s="6" t="inlineStr">
        <is>
          <t>操作</t>
        </is>
      </c>
      <c r="D8" s="6" t="inlineStr">
        <is>
          <t>入力する値</t>
        </is>
      </c>
      <c r="E8" s="6" t="inlineStr">
        <is>
          <t>うまくいったときの見え方</t>
        </is>
      </c>
      <c r="F8" s="6" t="inlineStr">
        <is>
          <t>つまずきやすい点</t>
        </is>
      </c>
      <c r="G8" s="6" t="inlineStr">
        <is>
          <t>画像</t>
        </is>
      </c>
    </row>
    <row r="9" ht="32" customHeight="1">
      <c r="A9" s="7" t="inlineStr">
        <is>
          <t>1</t>
        </is>
      </c>
      <c r="B9" s="7" t="inlineStr">
        <is>
          <t>エクスプローラ</t>
        </is>
      </c>
      <c r="C9" s="7" t="inlineStr">
        <is>
          <t>シナリオ用のフォルダを作る。</t>
        </is>
      </c>
      <c r="D9" s="7" t="inlineStr">
        <is>
          <t>C:\LoadTest\scenarios\api-gateway</t>
        </is>
      </c>
      <c r="E9" s="7" t="inlineStr">
        <is>
          <t>フォルダがある。</t>
        </is>
      </c>
      <c r="F9" s="7" t="inlineStr">
        <is>
          <t>OneDrive やデスクトップには作らない。</t>
        </is>
      </c>
      <c r="G9" s="7" t="inlineStr"/>
    </row>
    <row r="10" ht="44" customHeight="1">
      <c r="A10" s="8" t="inlineStr">
        <is>
          <t>2</t>
        </is>
      </c>
      <c r="B10" s="8" t="inlineStr">
        <is>
          <t>メモ帳</t>
        </is>
      </c>
      <c r="C10" s="8" t="inlineStr">
        <is>
          <t>load.properties を UTF-8 で保存する。中身はこのシートの後半の写し。ホストと scope を現場の値にする。</t>
        </is>
      </c>
      <c r="D10" s="8" t="inlineStr">
        <is>
          <t>ファイル名 load.properties</t>
        </is>
      </c>
      <c r="E10" s="8" t="inlineStr">
        <is>
          <t>jmx を置くフォルダと同じ。</t>
        </is>
      </c>
      <c r="F10" s="8" t="inlineStr">
        <is>
          <t>secrets の 3 つのキーをこちらへ書かない。</t>
        </is>
      </c>
      <c r="G10" s="8" t="inlineStr"/>
    </row>
    <row r="11" ht="44" customHeight="1">
      <c r="A11" s="7" t="inlineStr">
        <is>
          <t>3</t>
        </is>
      </c>
      <c r="B11" s="7" t="inlineStr">
        <is>
          <t>メモ帳</t>
        </is>
      </c>
      <c r="C11" s="7" t="inlineStr">
        <is>
          <t>secrets.properties を別に作る。client_id、client_secret、api_key を現場の値にする。</t>
        </is>
      </c>
      <c r="D11" s="7" t="inlineStr">
        <is>
          <t>UTF-8（BOM 無し）。値に引用符を付けない。値は ASCII。</t>
        </is>
      </c>
      <c r="E11" s="7" t="inlineStr">
        <is>
          <t>3 行のキーがある。</t>
        </is>
      </c>
      <c r="F11" s="7" t="inlineStr">
        <is>
          <t>BOM 付きだと 1 行目のキー名が読めない。このファイルをメールで送らない。</t>
        </is>
      </c>
      <c r="G11" s="7" t="inlineStr"/>
    </row>
    <row r="12" ht="44" customHeight="1">
      <c r="A12" s="8" t="inlineStr">
        <is>
          <t>4</t>
        </is>
      </c>
      <c r="B12" s="8" t="inlineStr">
        <is>
          <t>PowerShell</t>
        </is>
      </c>
      <c r="C12" s="8" t="inlineStr">
        <is>
          <t>公開例で、Base64 の操作だけ先に確認する。実秘密はこのコマンドに貼らない。</t>
        </is>
      </c>
      <c r="D12" s="8" t="inlineStr">
        <is>
          <t>下の PowerShell。結果は 36 の期待値と一致する。</t>
        </is>
      </c>
      <c r="E12" s="8" t="inlineStr">
        <is>
          <t>ZGpjOTh1 で始まる 1 行。</t>
        </is>
      </c>
      <c r="F12" s="8" t="inlineStr">
        <is>
          <t>結果が違ったら、文字の前後に空白や改行が入っている。</t>
        </is>
      </c>
      <c r="G12" s="8" t="inlineStr"/>
    </row>
    <row r="14" ht="84" customHeight="1">
      <c r="A14" s="7" t="inlineStr">
        <is>
          <t>$raw = "djc98u3jiedmi283eu928:abcdef01234567890"
$bytes = [Text.Encoding]::UTF8.GetBytes($raw)
[Convert]::ToBase64String($bytes)
# 期待値（AWS の公開例）
# ZGpjOTh1M2ppZWRtaTI4M2V1OTI4OmFiY2RlZjAxMjM0NTY3ODkw</t>
        </is>
      </c>
      <c r="B14" s="7" t="n"/>
      <c r="C14" s="7" t="n"/>
      <c r="D14" s="7" t="n"/>
      <c r="E14" s="7" t="n"/>
      <c r="F14" s="7" t="n"/>
      <c r="G14" s="7" t="n"/>
    </row>
    <row r="15" ht="24" customHeight="1">
      <c r="A15" s="5" t="inlineStr">
        <is>
          <t>B. トークン取得（setUp）</t>
        </is>
      </c>
      <c r="B15" s="5" t="n"/>
      <c r="C15" s="5" t="n"/>
      <c r="D15" s="5" t="n"/>
      <c r="E15" s="5" t="n"/>
      <c r="F15" s="5" t="n"/>
      <c r="G15" s="5" t="n"/>
    </row>
    <row r="16" ht="28" customHeight="1">
      <c r="A16" s="6" t="inlineStr">
        <is>
          <t>手順</t>
        </is>
      </c>
      <c r="B16" s="6" t="inlineStr">
        <is>
          <t>どこで</t>
        </is>
      </c>
      <c r="C16" s="6" t="inlineStr">
        <is>
          <t>操作</t>
        </is>
      </c>
      <c r="D16" s="6" t="inlineStr">
        <is>
          <t>入力する値</t>
        </is>
      </c>
      <c r="E16" s="6" t="inlineStr">
        <is>
          <t>うまくいったときの見え方</t>
        </is>
      </c>
      <c r="F16" s="6" t="inlineStr">
        <is>
          <t>つまずきやすい点</t>
        </is>
      </c>
      <c r="G16" s="6" t="inlineStr">
        <is>
          <t>画像</t>
        </is>
      </c>
    </row>
    <row r="17" ht="56" customHeight="1">
      <c r="A17" s="7" t="inlineStr">
        <is>
          <t>5</t>
        </is>
      </c>
      <c r="B17" s="7" t="inlineStr">
        <is>
          <t>jmeter.bat</t>
        </is>
      </c>
      <c r="C17" s="7" t="inlineStr">
        <is>
          <t>プロパティを読ませてから GUI を開く。先に普通のダブルクリックで開くと、秘密が空のままになる。</t>
        </is>
      </c>
      <c r="D17" s="7" t="inlineStr">
        <is>
          <t>下の起動コマンド。</t>
        </is>
      </c>
      <c r="E17" s="7" t="inlineStr">
        <is>
          <t>JMeter の窓が開く。</t>
        </is>
      </c>
      <c r="F17" s="7" t="inlineStr">
        <is>
          <t>開いたあとに properties を保存し直しても、起動中の JMeter は読み直さない。閉じて、同じコマンドで開き直す。</t>
        </is>
      </c>
      <c r="G17" s="7" t="inlineStr"/>
    </row>
    <row r="18" ht="32" customHeight="1">
      <c r="A18" s="8" t="inlineStr">
        <is>
          <t>6</t>
        </is>
      </c>
      <c r="B18" s="8" t="inlineStr">
        <is>
          <t>ファイル</t>
        </is>
      </c>
      <c r="C18" s="8" t="inlineStr">
        <is>
          <t>名前を付けて保存。</t>
        </is>
      </c>
      <c r="D18" s="8" t="inlineStr">
        <is>
          <t>C:\LoadTest\scenarios\api-gateway\api-gateway.jmx</t>
        </is>
      </c>
      <c r="E18" s="8" t="inlineStr">
        <is>
          <t>jmx ができる。</t>
        </is>
      </c>
      <c r="F18" s="8" t="inlineStr">
        <is>
          <t>bin フォルダへ保存しない。</t>
        </is>
      </c>
      <c r="G18" s="8" t="inlineStr"/>
    </row>
    <row r="19" ht="44" customHeight="1">
      <c r="A19" s="7" t="inlineStr">
        <is>
          <t>7</t>
        </is>
      </c>
      <c r="B19" s="7" t="inlineStr">
        <is>
          <t>テスト計画を右クリック</t>
        </is>
      </c>
      <c r="C19" s="7" t="inlineStr">
        <is>
          <t>追加 → スレッド（ユーザー） → setUp スレッドグループ。メニューが英語なら setUp Thread Group。</t>
        </is>
      </c>
      <c r="D19" s="7" t="inlineStr">
        <is>
          <t>名前 SU_トークン。スレッド数 1。Ramp-Up 1。ループ回数 1。スケジューラはオフ。</t>
        </is>
      </c>
      <c r="E19" s="7" t="inlineStr">
        <is>
          <t>人数の欄が 1 という数字。</t>
        </is>
      </c>
      <c r="F19" s="7" t="inlineStr">
        <is>
          <t>${__P(threads,1)} をここに入れると、本番の人数の回数だけ Cognito を叩く。</t>
        </is>
      </c>
      <c r="G19" s="7" t="inlineStr">
        <is>
          <t>下の枠</t>
        </is>
      </c>
    </row>
    <row r="20" ht="32" customHeight="1">
      <c r="A20" s="8" t="inlineStr">
        <is>
          <t>8</t>
        </is>
      </c>
      <c r="B20" s="8" t="inlineStr">
        <is>
          <t>SU_トークン</t>
        </is>
      </c>
      <c r="C20" s="8" t="inlineStr">
        <is>
          <t>エラー時の動作。</t>
        </is>
      </c>
      <c r="D20" s="8" t="inlineStr">
        <is>
          <t>停止（Stop Test）。</t>
        </is>
      </c>
      <c r="E20" s="8" t="inlineStr">
        <is>
          <t>トークンが取れなければ、業務スレッドが始まらない。</t>
        </is>
      </c>
      <c r="F20" s="8" t="inlineStr">
        <is>
          <t>継続のままだと、トークン無しの業務リクエストが大量に出る。</t>
        </is>
      </c>
      <c r="G20" s="8" t="inlineStr"/>
    </row>
    <row r="21" ht="44" customHeight="1">
      <c r="A21" s="7" t="inlineStr">
        <is>
          <t>9</t>
        </is>
      </c>
      <c r="B21" s="7" t="inlineStr">
        <is>
          <t>SU_トークンを右クリック</t>
        </is>
      </c>
      <c r="C21" s="7" t="inlineStr">
        <is>
          <t>追加 → サンプラー → HTTPリクエスト。</t>
        </is>
      </c>
      <c r="D21" s="7" t="inlineStr">
        <is>
          <t>名前 HTTP_POST_cognito_token。</t>
        </is>
      </c>
      <c r="E21" s="7" t="inlineStr">
        <is>
          <t>右に入力欄が出る。</t>
        </is>
      </c>
      <c r="F21" s="7" t="inlineStr">
        <is>
          <t>サーバ名を空にすると、別の初期値が効いたときに API Gateway へ飛ぶ。</t>
        </is>
      </c>
      <c r="G21" s="7" t="inlineStr"/>
    </row>
    <row r="22" ht="93" customHeight="1">
      <c r="A22" s="8" t="inlineStr">
        <is>
          <t>10</t>
        </is>
      </c>
      <c r="B22" s="8" t="inlineStr">
        <is>
          <t>HTTP リクエスト</t>
        </is>
      </c>
      <c r="C22" s="8" t="inlineStr">
        <is>
          <t>プロトコル、サーバ、ポート、メソッド、パス、Content encoding。</t>
        </is>
      </c>
      <c r="D22" s="8" t="inlineStr">
        <is>
          <t>https
${__P(cognito.host)}
443
POST
/oauth2/token
UTF-8</t>
        </is>
      </c>
      <c r="E22" s="8" t="inlineStr">
        <is>
          <t>パスが /oauth2/token。</t>
        </is>
      </c>
      <c r="F22" s="8" t="inlineStr">
        <is>
          <t>cognito-idp.リージョン.amazonaws.com のユーザープール URL は、この OAuth のトークンエンドポイントではない。ドメインは xxx.auth.リージョン.amazoncognito.com か、合意したカスタムドメイン。</t>
        </is>
      </c>
      <c r="G22" s="8" t="inlineStr">
        <is>
          <t>下の枠</t>
        </is>
      </c>
    </row>
    <row r="23" ht="93" customHeight="1">
      <c r="A23" s="7" t="inlineStr">
        <is>
          <t>11</t>
        </is>
      </c>
      <c r="B23" s="7" t="inlineStr">
        <is>
          <t>パラメータ表</t>
        </is>
      </c>
      <c r="C23" s="7" t="inlineStr">
        <is>
          <t>Body Data は空のまま、Parameters に 3 行。</t>
        </is>
      </c>
      <c r="D23" s="7" t="inlineStr">
        <is>
          <t>grant_type = client_credentials
client_id = ${__P(client_id)}
scope = ${__P(scope)}</t>
        </is>
      </c>
      <c r="E23" s="7" t="inlineStr">
        <is>
          <t>Use multipart/form-data はオフ。</t>
        </is>
      </c>
      <c r="F23" s="7" t="inlineStr">
        <is>
          <t>client_secret をこの表に入れない。秘密は Authorization ヘッダ側。scope を合意していないクライアントなら、scope の行だけ作らない。自分で %2F を書いた値を入れない。スラッシュは生の文字のまま。</t>
        </is>
      </c>
      <c r="G23" s="7" t="inlineStr"/>
    </row>
    <row r="24" ht="44" customHeight="1">
      <c r="A24" s="8" t="inlineStr">
        <is>
          <t>12</t>
        </is>
      </c>
      <c r="B24" s="8" t="inlineStr">
        <is>
          <t>リクエストを右クリック</t>
        </is>
      </c>
      <c r="C24" s="8" t="inlineStr">
        <is>
          <t>追加 → 前処理 → JSR223 PreProcessor。</t>
        </is>
      </c>
      <c r="D24" s="8" t="inlineStr">
        <is>
          <t>名前 PP_basicを作る。Language は groovy。</t>
        </is>
      </c>
      <c r="E24" s="8" t="inlineStr">
        <is>
          <t>スクリプト欄に 36 の全文が入っている。このシートの写しと同じ。</t>
        </is>
      </c>
      <c r="F24" s="8" t="inlineStr">
        <is>
          <t>Language が javascript のままだと、Java 17 では動かない環境がある。</t>
        </is>
      </c>
      <c r="G24" s="8" t="inlineStr">
        <is>
          <t>下の枠</t>
        </is>
      </c>
    </row>
    <row r="25" ht="68" customHeight="1">
      <c r="A25" s="7" t="inlineStr">
        <is>
          <t>13</t>
        </is>
      </c>
      <c r="B25" s="7" t="inlineStr">
        <is>
          <t>リクエストを右クリック</t>
        </is>
      </c>
      <c r="C25" s="7" t="inlineStr">
        <is>
          <t>追加 → 設定エレメント → HTTPヘッダマネージャ。</t>
        </is>
      </c>
      <c r="D25" s="7" t="inlineStr">
        <is>
          <t>名前 HM_トークン。下の 2 行。</t>
        </is>
      </c>
      <c r="E25" s="7" t="inlineStr">
        <is>
          <t>このリクエストの子になっている。</t>
        </is>
      </c>
      <c r="F25" s="7" t="inlineStr">
        <is>
          <t>テスト計画の直下に置くと、業務リクエストの Content-Type と衝突する。子は親の同名ヘッダを置き換えるが、置き場所を分ける。</t>
        </is>
      </c>
      <c r="G25" s="7" t="inlineStr"/>
    </row>
    <row r="26" ht="56" customHeight="1">
      <c r="A26" s="8" t="inlineStr">
        <is>
          <t>14</t>
        </is>
      </c>
      <c r="B26" s="8" t="inlineStr">
        <is>
          <t>HM_トークン</t>
        </is>
      </c>
      <c r="C26" s="8" t="inlineStr">
        <is>
          <t>ヘッダを 2 つ入れる。</t>
        </is>
      </c>
      <c r="D26" s="8" t="inlineStr">
        <is>
          <t>Content-Type = application/x-www-form-urlencoded
Authorization = Basic ${basic_credentials}</t>
        </is>
      </c>
      <c r="E26" s="8" t="inlineStr">
        <is>
          <t>Basic のうしろに半角空白が 1 つある。</t>
        </is>
      </c>
      <c r="F26" s="8" t="inlineStr">
        <is>
          <t>Basic の前に空白。値の全体を引用符で囲む。Bearer をここに書く。</t>
        </is>
      </c>
      <c r="G26" s="8" t="inlineStr"/>
    </row>
    <row r="27" ht="44" customHeight="1">
      <c r="A27" s="7" t="inlineStr">
        <is>
          <t>15</t>
        </is>
      </c>
      <c r="B27" s="7" t="inlineStr">
        <is>
          <t>リクエストを右クリック</t>
        </is>
      </c>
      <c r="C27" s="7" t="inlineStr">
        <is>
          <t>追加 → 後処理 → JSON Extractor。37 の 4 欄。</t>
        </is>
      </c>
      <c r="D27" s="7" t="inlineStr">
        <is>
          <t>変数 access_token と expires_in。Match No. は 1;1。初期値 TOKEN_NOT_FOUND;EXPIRES_NOT_FOUND。</t>
        </is>
      </c>
      <c r="E27" s="7" t="inlineStr">
        <is>
          <t>Match No. が 1。</t>
        </is>
      </c>
      <c r="F27" s="7" t="inlineStr">
        <is>
          <t>Match No. を空にすると 0（ランダム）になる。トークンが毎回変わる抽取になる。</t>
        </is>
      </c>
      <c r="G27" s="7" t="inlineStr"/>
    </row>
    <row r="28" ht="32" customHeight="1">
      <c r="A28" s="8" t="inlineStr">
        <is>
          <t>16</t>
        </is>
      </c>
      <c r="B28" s="8" t="inlineStr">
        <is>
          <t>JSON Extractor の下</t>
        </is>
      </c>
      <c r="C28" s="8" t="inlineStr">
        <is>
          <t>追加 → 後処理 → JSR223 PostProcessor。JSON Extractor より下。</t>
        </is>
      </c>
      <c r="D28" s="8" t="inlineStr">
        <is>
          <t>名前 PP_トークンを全体へ。Language は groovy。37 の全文。</t>
        </is>
      </c>
      <c r="E28" s="8" t="inlineStr">
        <is>
          <t>ツリー上で JSON Extractor の次にある。</t>
        </is>
      </c>
      <c r="F28" s="8" t="inlineStr">
        <is>
          <t>上に置くと vars にまだ access_token が無く、毎回失敗する。</t>
        </is>
      </c>
      <c r="G28" s="8" t="inlineStr"/>
    </row>
    <row r="29" ht="32" customHeight="1">
      <c r="A29" s="7" t="inlineStr">
        <is>
          <t>17</t>
        </is>
      </c>
      <c r="B29" s="7" t="inlineStr">
        <is>
          <t>リクエストを右クリック</t>
        </is>
      </c>
      <c r="C29" s="7" t="inlineStr">
        <is>
          <t>追加 → アサーション → 応答アサーション。</t>
        </is>
      </c>
      <c r="D29" s="7" t="inlineStr">
        <is>
          <t>Field to Test は応答コード。一致は等しい。Patterns to Test は 200。</t>
        </is>
      </c>
      <c r="E29" s="7" t="inlineStr">
        <is>
          <t>200 以外は失敗。</t>
        </is>
      </c>
      <c r="F29" s="7" t="inlineStr">
        <is>
          <t>「含む」のまま 200 と書くと、別のコードにも一致し得る。</t>
        </is>
      </c>
      <c r="G29" s="7" t="inlineStr"/>
    </row>
    <row r="31" ht="22" customHeight="1">
      <c r="A31" s="14" t="inlineStr">
        <is>
          <t>IMG-42    画像差し込み枠    setUp スレッドグループの人数欄</t>
        </is>
      </c>
      <c r="B31" s="14" t="n"/>
      <c r="C31" s="14" t="n"/>
      <c r="D31" s="14" t="n"/>
      <c r="E31" s="14" t="n"/>
      <c r="F31" s="14" t="n"/>
      <c r="G31" s="14" t="n"/>
    </row>
    <row r="32" ht="148" customHeight="1">
      <c r="A32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7 のあと。
画角: スレッド数 1、Ramp-Up 1、ループ 1、スケジューラがオフ。${__P(threads)} が無いことが読める。
文章は図の下に隠れてもよい。どの図かは 32_画像台帳 の IMG-42 を見る。</t>
        </is>
      </c>
      <c r="B32" s="15" t="n"/>
      <c r="C32" s="15" t="n"/>
      <c r="D32" s="15" t="n"/>
      <c r="E32" s="15" t="n"/>
      <c r="F32" s="15" t="n"/>
      <c r="G32" s="15" t="n"/>
    </row>
    <row r="33" ht="22" customHeight="1">
      <c r="A33" s="14" t="inlineStr">
        <is>
          <t>IMG-43    画像差し込み枠    Cognito の HTTP リクエスト</t>
        </is>
      </c>
      <c r="B33" s="14" t="n"/>
      <c r="C33" s="14" t="n"/>
      <c r="D33" s="14" t="n"/>
      <c r="E33" s="14" t="n"/>
      <c r="F33" s="14" t="n"/>
      <c r="G33" s="14" t="n"/>
    </row>
    <row r="34" ht="148" customHeight="1">
      <c r="A3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11 のあと。
画角: メソッド POST、パス /oauth2/token、サーバ欄が ${__P(cognito.host)}。パラメータ 3 行。Body Data は空。client_secret の実値は写さない。
文章は図の下に隠れてもよい。どの図かは 32_画像台帳 の IMG-43 を見る。</t>
        </is>
      </c>
      <c r="B34" s="15" t="n"/>
      <c r="C34" s="15" t="n"/>
      <c r="D34" s="15" t="n"/>
      <c r="E34" s="15" t="n"/>
      <c r="F34" s="15" t="n"/>
      <c r="G34" s="15" t="n"/>
    </row>
    <row r="35" ht="24" customHeight="1">
      <c r="A35" s="5" t="inlineStr">
        <is>
          <t>C. 業務リクエスト（API Gateway）</t>
        </is>
      </c>
      <c r="B35" s="5" t="n"/>
      <c r="C35" s="5" t="n"/>
      <c r="D35" s="5" t="n"/>
      <c r="E35" s="5" t="n"/>
      <c r="F35" s="5" t="n"/>
      <c r="G35" s="5" t="n"/>
    </row>
    <row r="36" ht="28" customHeight="1">
      <c r="A36" s="6" t="inlineStr">
        <is>
          <t>手順</t>
        </is>
      </c>
      <c r="B36" s="6" t="inlineStr">
        <is>
          <t>どこで</t>
        </is>
      </c>
      <c r="C36" s="6" t="inlineStr">
        <is>
          <t>操作</t>
        </is>
      </c>
      <c r="D36" s="6" t="inlineStr">
        <is>
          <t>入力する値</t>
        </is>
      </c>
      <c r="E36" s="6" t="inlineStr">
        <is>
          <t>うまくいったときの見え方</t>
        </is>
      </c>
      <c r="F36" s="6" t="inlineStr">
        <is>
          <t>つまずきやすい点</t>
        </is>
      </c>
      <c r="G36" s="6" t="inlineStr">
        <is>
          <t>画像</t>
        </is>
      </c>
    </row>
    <row r="37" ht="56" customHeight="1">
      <c r="A37" s="7" t="inlineStr">
        <is>
          <t>18</t>
        </is>
      </c>
      <c r="B37" s="7" t="inlineStr">
        <is>
          <t>テスト計画を右クリック</t>
        </is>
      </c>
      <c r="C37" s="7" t="inlineStr">
        <is>
          <t>追加 → スレッド（ユーザー） → スレッドグループ。</t>
        </is>
      </c>
      <c r="D37" s="7" t="inlineStr">
        <is>
          <t>名前 TG_業務。人数 ${__P(threads,1)}、Ramp-Up ${__P(ramp,1)}、ループは無限、スケジューラの持続 ${__P(duration,60)}。エラー時は継続。</t>
        </is>
      </c>
      <c r="E37" s="7" t="inlineStr">
        <is>
          <t>12 の手順 5 から 9 と同じ式。</t>
        </is>
      </c>
      <c r="F37" s="7" t="inlineStr">
        <is>
          <t>ここに 50 と直書きすると、GUI の開始が 50 人になる。</t>
        </is>
      </c>
      <c r="G37" s="7" t="inlineStr"/>
    </row>
    <row r="38" ht="56" customHeight="1">
      <c r="A38" s="8" t="inlineStr">
        <is>
          <t>19</t>
        </is>
      </c>
      <c r="B38" s="8" t="inlineStr">
        <is>
          <t>TG_業務を右クリック</t>
        </is>
      </c>
      <c r="C38" s="8" t="inlineStr">
        <is>
          <t>追加 → 設定エレメント → HTTPリクエスト初期値。</t>
        </is>
      </c>
      <c r="D38" s="8" t="inlineStr">
        <is>
          <t>プロトコル https、サーバ ${__P(api.host)}、ポート 443。</t>
        </is>
      </c>
      <c r="E38" s="8" t="inlineStr">
        <is>
          <t>このグループの中だけに効く。</t>
        </is>
      </c>
      <c r="F38" s="8" t="inlineStr">
        <is>
          <t>テスト計画の直下に移すと、setUp の空欄までこのホストになる。setUp 側は空欄にしない手順にしてあるが、置き場所も守る。</t>
        </is>
      </c>
      <c r="G38" s="8" t="inlineStr"/>
    </row>
    <row r="39" ht="32" customHeight="1">
      <c r="A39" s="7" t="inlineStr">
        <is>
          <t>20</t>
        </is>
      </c>
      <c r="B39" s="7" t="inlineStr">
        <is>
          <t>TG_業務を右クリック</t>
        </is>
      </c>
      <c r="C39" s="7" t="inlineStr">
        <is>
          <t>追加 → ロジックコントローラ → トランザクションコントローラ。</t>
        </is>
      </c>
      <c r="D39" s="7" t="inlineStr">
        <is>
          <t>名前 TX_業務。Generate parent sample はオフ。</t>
        </is>
      </c>
      <c r="E39" s="7" t="inlineStr">
        <is>
          <t>子の HTTP が jtl に出る。</t>
        </is>
      </c>
      <c r="F39" s="7" t="inlineStr">
        <is>
          <t>親サンプルをオンにすると、件数が二重になりやすい。</t>
        </is>
      </c>
      <c r="G39" s="7" t="inlineStr"/>
    </row>
    <row r="40" ht="44" customHeight="1">
      <c r="A40" s="8" t="inlineStr">
        <is>
          <t>21</t>
        </is>
      </c>
      <c r="B40" s="8" t="inlineStr">
        <is>
          <t>TX_業務を右クリック</t>
        </is>
      </c>
      <c r="C40" s="8" t="inlineStr">
        <is>
          <t>追加 → サンプラー → HTTPリクエスト。</t>
        </is>
      </c>
      <c r="D40" s="8" t="inlineStr">
        <is>
          <t>名前 HTTP_GET_orders。メソッド GET。パス /${__P(api.stage,prod)}/orders。サーバ名は空。</t>
        </is>
      </c>
      <c r="E40" s="8" t="inlineStr">
        <is>
          <t>ホストは初期値から入る。</t>
        </is>
      </c>
      <c r="F40" s="8" t="inlineStr">
        <is>
          <t>パスの先頭のスラッシュを欠かすと、ステージが連結されない。</t>
        </is>
      </c>
      <c r="G40" s="8" t="inlineStr">
        <is>
          <t>下の枠</t>
        </is>
      </c>
    </row>
    <row r="41" ht="44" customHeight="1">
      <c r="A41" s="7" t="inlineStr">
        <is>
          <t>22</t>
        </is>
      </c>
      <c r="B41" s="7" t="inlineStr">
        <is>
          <t>HTTP_GET_orders を右クリック</t>
        </is>
      </c>
      <c r="C41" s="7" t="inlineStr">
        <is>
          <t>追加 → 設定エレメント → HTTPヘッダマネージャ。</t>
        </is>
      </c>
      <c r="D41" s="7" t="inlineStr">
        <is>
          <t>名前 HM_API。39 の 2 行。</t>
        </is>
      </c>
      <c r="E41" s="7" t="inlineStr">
        <is>
          <t>このリクエストの子。</t>
        </is>
      </c>
      <c r="F41" s="7" t="inlineStr">
        <is>
          <t>SU_トークンのヘッダマネージャへ行を足すと、Cognito に API キーが付く。</t>
        </is>
      </c>
      <c r="G41" s="7" t="inlineStr"/>
    </row>
    <row r="42" ht="80" customHeight="1">
      <c r="A42" s="8" t="inlineStr">
        <is>
          <t>23</t>
        </is>
      </c>
      <c r="B42" s="8" t="inlineStr">
        <is>
          <t>HM_API</t>
        </is>
      </c>
      <c r="C42" s="8" t="inlineStr">
        <is>
          <t>ヘッダ。名前は合意メモのとおり。</t>
        </is>
      </c>
      <c r="D42" s="8" t="inlineStr">
        <is>
          <t>Authorization = Bearer ${__P(access_token)}
X-API-ID = ${__P(api_key)}</t>
        </is>
      </c>
      <c r="E42" s="8" t="inlineStr">
        <is>
          <t>Bearer のうしろに半角空白。</t>
        </is>
      </c>
      <c r="F42" s="8" t="inlineStr">
        <is>
          <t>利用プランの API キー（API key source が HEADER）が契約なら、名前だけ X-API-Key にする。値の式は変えない。${access_token} と書くと、業務スレッドからは見えない。</t>
        </is>
      </c>
      <c r="G42" s="8" t="inlineStr"/>
    </row>
    <row r="43" ht="32" customHeight="1">
      <c r="A43" s="7" t="inlineStr">
        <is>
          <t>24</t>
        </is>
      </c>
      <c r="B43" s="7" t="inlineStr">
        <is>
          <t>HTTP_GET_orders を右クリック</t>
        </is>
      </c>
      <c r="C43" s="7" t="inlineStr">
        <is>
          <t>追加 → アサーション → 応答アサーション。</t>
        </is>
      </c>
      <c r="D43" s="7" t="inlineStr">
        <is>
          <t>応答コードが 200 と等しい。</t>
        </is>
      </c>
      <c r="E43" s="7" t="inlineStr">
        <is>
          <t>業務の失敗がエラー率に入る。</t>
        </is>
      </c>
      <c r="F43" s="7" t="inlineStr">
        <is>
          <t>本文の文言を「含む」で検査すると、文言変更で全件失敗する。</t>
        </is>
      </c>
      <c r="G43" s="7" t="inlineStr"/>
    </row>
    <row r="44" ht="44" customHeight="1">
      <c r="A44" s="8" t="inlineStr">
        <is>
          <t>25</t>
        </is>
      </c>
      <c r="B44" s="8" t="inlineStr">
        <is>
          <t>TX_業務を右クリック</t>
        </is>
      </c>
      <c r="C44" s="8" t="inlineStr">
        <is>
          <t>追加 → タイマ → 一様乱数タイマ。</t>
        </is>
      </c>
      <c r="D44" s="8" t="inlineStr">
        <is>
          <t>定数遅延 1000、ランダム遅延 2000。</t>
        </is>
      </c>
      <c r="E44" s="8" t="inlineStr">
        <is>
          <t>業務の前に 1 から 3 秒待つ。</t>
        </is>
      </c>
      <c r="F44" s="8" t="inlineStr">
        <is>
          <t>setUp の中に入れると、トークン取得の前に待つ。報告には思考時間ありと書く。</t>
        </is>
      </c>
      <c r="G44" s="8" t="inlineStr"/>
    </row>
    <row r="45" ht="44" customHeight="1">
      <c r="A45" s="7" t="inlineStr">
        <is>
          <t>26</t>
        </is>
      </c>
      <c r="B45" s="7" t="inlineStr">
        <is>
          <t>テスト計画を右クリック</t>
        </is>
      </c>
      <c r="C45" s="7" t="inlineStr">
        <is>
          <t>追加 → リスナー → 結果をツリーで表示。</t>
        </is>
      </c>
      <c r="D45" s="7" t="inlineStr">
        <is>
          <t>Filename は空。</t>
        </is>
      </c>
      <c r="E45" s="7" t="inlineStr">
        <is>
          <t>setUp も業務も、この 1 つのツリーに出る。</t>
        </is>
      </c>
      <c r="F45" s="7" t="inlineStr">
        <is>
          <t>Filename にパスを書くと、そこへ結果を書き始める。CLI の -l と二重になる。</t>
        </is>
      </c>
      <c r="G45" s="7" t="inlineStr"/>
    </row>
    <row r="46" ht="56" customHeight="1">
      <c r="A46" s="8" t="inlineStr">
        <is>
          <t>27</t>
        </is>
      </c>
      <c r="B46" s="8" t="inlineStr">
        <is>
          <t>保存</t>
        </is>
      </c>
      <c r="C46" s="8" t="inlineStr">
        <is>
          <t>Ctrl+S。</t>
        </is>
      </c>
      <c r="D46" s="8" t="inlineStr">
        <is>
          <t>api-gateway.jmx</t>
        </is>
      </c>
      <c r="E46" s="8" t="inlineStr">
        <is>
          <t>タイトルバーに * が無い。</t>
        </is>
      </c>
      <c r="F46" s="8" t="inlineStr">
        <is>
          <t>リスナーを有効なまま、このファイルを負荷用の正にするのは 16 で止める。先に 1 人の確認を行う。</t>
        </is>
      </c>
      <c r="G46" s="8" t="inlineStr"/>
    </row>
    <row r="48" ht="22" customHeight="1">
      <c r="A48" s="14" t="inlineStr">
        <is>
          <t>IMG-44    画像差し込み枠    業務リクエストのパスと、子のヘッダマネージャ</t>
        </is>
      </c>
      <c r="B48" s="14" t="n"/>
      <c r="C48" s="14" t="n"/>
      <c r="D48" s="14" t="n"/>
      <c r="E48" s="14" t="n"/>
      <c r="F48" s="14" t="n"/>
      <c r="G48" s="14" t="n"/>
    </row>
    <row r="49" ht="148" customHeight="1">
      <c r="A49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23 のあと。実行前。
画角: パスに ${__P(api.stage,prod)} が見える。ヘッダ名 Authorization と X-API-ID、値は式のまま。実キーは写さない。
文章は図の下に隠れてもよい。どの図かは 32_画像台帳 の IMG-44 を見る。</t>
        </is>
      </c>
      <c r="B49" s="15" t="n"/>
      <c r="C49" s="15" t="n"/>
      <c r="D49" s="15" t="n"/>
      <c r="E49" s="15" t="n"/>
      <c r="F49" s="15" t="n"/>
      <c r="G49" s="15" t="n"/>
    </row>
    <row r="50" ht="24" customHeight="1">
      <c r="A50" s="5" t="inlineStr">
        <is>
          <t>D. 画面で 1 人だけ実行する</t>
        </is>
      </c>
      <c r="B50" s="5" t="n"/>
      <c r="C50" s="5" t="n"/>
      <c r="D50" s="5" t="n"/>
      <c r="E50" s="5" t="n"/>
      <c r="F50" s="5" t="n"/>
      <c r="G50" s="5" t="n"/>
    </row>
    <row r="51" ht="28" customHeight="1">
      <c r="A51" s="6" t="inlineStr">
        <is>
          <t>手順</t>
        </is>
      </c>
      <c r="B51" s="6" t="inlineStr">
        <is>
          <t>どこで</t>
        </is>
      </c>
      <c r="C51" s="6" t="inlineStr">
        <is>
          <t>操作</t>
        </is>
      </c>
      <c r="D51" s="6" t="inlineStr">
        <is>
          <t>入力する値</t>
        </is>
      </c>
      <c r="E51" s="6" t="inlineStr">
        <is>
          <t>うまくいったときの見え方</t>
        </is>
      </c>
      <c r="F51" s="6" t="inlineStr">
        <is>
          <t>つまずきやすい点</t>
        </is>
      </c>
      <c r="G51" s="6" t="inlineStr">
        <is>
          <t>画像</t>
        </is>
      </c>
    </row>
    <row r="52" ht="32" customHeight="1">
      <c r="A52" s="7" t="inlineStr">
        <is>
          <t>28</t>
        </is>
      </c>
      <c r="B52" s="7" t="inlineStr">
        <is>
          <t>起動の確認</t>
        </is>
      </c>
      <c r="C52" s="7" t="inlineStr">
        <is>
          <t>今開いている JMeter が、手順 5 の -q 付きで起動したものであること。</t>
        </is>
      </c>
      <c r="D52" s="7" t="inlineStr">
        <is>
          <t>違う開き方をしていたら、保存して閉じ、手順 5 で開き直して jmx を開く。</t>
        </is>
      </c>
      <c r="E52" s="7" t="inlineStr">
        <is>
          <t>secrets を変えたあとも、開き直している。</t>
        </is>
      </c>
      <c r="F52" s="7" t="inlineStr">
        <is>
          <t>ダブルクリック起動の窓で開始しても、プロパティは空。</t>
        </is>
      </c>
      <c r="G52" s="7" t="inlineStr"/>
    </row>
    <row r="53" ht="32" customHeight="1">
      <c r="A53" s="8" t="inlineStr">
        <is>
          <t>29</t>
        </is>
      </c>
      <c r="B53" s="8" t="inlineStr">
        <is>
          <t>人数</t>
        </is>
      </c>
      <c r="C53" s="8" t="inlineStr">
        <is>
          <t>TG_業務が式のままなら、GUI では 1 人、約 60 秒。</t>
        </is>
      </c>
      <c r="D53" s="8" t="inlineStr">
        <is>
          <t>${__P(threads,1)} と ${__P(duration,60)}。</t>
        </is>
      </c>
      <c r="E53" s="8" t="inlineStr">
        <is>
          <t>setUp は 1 のまま。</t>
        </is>
      </c>
      <c r="F53" s="8" t="inlineStr">
        <is>
          <t>-J は、この GUI 起動コマンドには付けない。</t>
        </is>
      </c>
      <c r="G53" s="8" t="inlineStr"/>
    </row>
    <row r="54" ht="32" customHeight="1">
      <c r="A54" s="7" t="inlineStr">
        <is>
          <t>30</t>
        </is>
      </c>
      <c r="B54" s="7" t="inlineStr">
        <is>
          <t>消去</t>
        </is>
      </c>
      <c r="C54" s="7" t="inlineStr">
        <is>
          <t>前回の表示を消す。</t>
        </is>
      </c>
      <c r="D54" s="7" t="inlineStr">
        <is>
          <t>実行 → 全て消去（Ctrl+Shift+E）。</t>
        </is>
      </c>
      <c r="E54" s="7" t="inlineStr">
        <is>
          <t>ツリーが空。jmx は残る。</t>
        </is>
      </c>
      <c r="F54" s="7" t="inlineStr">
        <is>
          <t>全て消去を、シナリオの削除だと思わない。</t>
        </is>
      </c>
      <c r="G54" s="7" t="inlineStr"/>
    </row>
    <row r="55" ht="32" customHeight="1">
      <c r="A55" s="8" t="inlineStr">
        <is>
          <t>31</t>
        </is>
      </c>
      <c r="B55" s="8" t="inlineStr">
        <is>
          <t>開始</t>
        </is>
      </c>
      <c r="C55" s="8" t="inlineStr">
        <is>
          <t>ツールバーの緑の三角。</t>
        </is>
      </c>
      <c r="D55" s="8" t="inlineStr">
        <is>
          <t>実行 → 開始。検証（Validate）では、この確認を終えない。</t>
        </is>
      </c>
      <c r="E55" s="8" t="inlineStr">
        <is>
          <t>右上の件数が増える。</t>
        </is>
      </c>
      <c r="F55" s="8" t="inlineStr">
        <is>
          <t>開始（タイマを無視）は、思考時間の確認では使わない。</t>
        </is>
      </c>
      <c r="G55" s="8" t="inlineStr">
        <is>
          <t>下の枠</t>
        </is>
      </c>
    </row>
    <row r="56" ht="56" customHeight="1">
      <c r="A56" s="7" t="inlineStr">
        <is>
          <t>32</t>
        </is>
      </c>
      <c r="B56" s="7" t="inlineStr">
        <is>
          <t>トークン行</t>
        </is>
      </c>
      <c r="C56" s="7" t="inlineStr">
        <is>
          <t>結果ツリーで HTTP_POST_cognito_token を開く。</t>
        </is>
      </c>
      <c r="D56" s="7" t="inlineStr">
        <is>
          <t>緑。Sampler result の応答コード 200。</t>
        </is>
      </c>
      <c r="E56" s="7" t="inlineStr">
        <is>
          <t>Load time が 1 件分だけ見える。</t>
        </is>
      </c>
      <c r="F56" s="7" t="inlineStr">
        <is>
          <t>赤なら Response data の error の語を読む。invalid_client は 36。invalid_scope は scope。人数は増やさない。</t>
        </is>
      </c>
      <c r="G56" s="7" t="inlineStr"/>
    </row>
    <row r="57" ht="56" customHeight="1">
      <c r="A57" s="8" t="inlineStr">
        <is>
          <t>33</t>
        </is>
      </c>
      <c r="B57" s="8" t="inlineStr">
        <is>
          <t>送ったヘッダ</t>
        </is>
      </c>
      <c r="C57" s="8" t="inlineStr">
        <is>
          <t>同じサンプルの Request タブ。</t>
        </is>
      </c>
      <c r="D57" s="8" t="inlineStr">
        <is>
          <t>Authorization が Basic で始まり、${basic_credentials} という文字が残っていない。Content-Type が application/x-www-form-urlencoded。</t>
        </is>
      </c>
      <c r="E57" s="8" t="inlineStr">
        <is>
          <t>X-API-ID はこのリクエストに無い。</t>
        </is>
      </c>
      <c r="F57" s="8" t="inlineStr">
        <is>
          <t>値をチケットへ貼らない。図にも入れない。確認したらタブを戻す。</t>
        </is>
      </c>
      <c r="G57" s="8" t="inlineStr"/>
    </row>
    <row r="58" ht="44" customHeight="1">
      <c r="A58" s="7" t="inlineStr">
        <is>
          <t>34</t>
        </is>
      </c>
      <c r="B58" s="7" t="inlineStr">
        <is>
          <t>応答の形</t>
        </is>
      </c>
      <c r="C58" s="7" t="inlineStr">
        <is>
          <t>Response data をその場で見る。</t>
        </is>
      </c>
      <c r="D58" s="7" t="inlineStr">
        <is>
          <t>access_token、token_type が Bearer、expires_in が秒の数。</t>
        </is>
      </c>
      <c r="E58" s="7" t="inlineStr">
        <is>
          <t>expires_in をメモする。試験の持続秒は、この数より小さくする。</t>
        </is>
      </c>
      <c r="F58" s="7" t="inlineStr">
        <is>
          <t>画面をスクリーンショットしない。見終わったら別のタブへ移る。</t>
        </is>
      </c>
      <c r="G58" s="7" t="inlineStr"/>
    </row>
    <row r="59" ht="56" customHeight="1">
      <c r="A59" s="8" t="inlineStr">
        <is>
          <t>35</t>
        </is>
      </c>
      <c r="B59" s="8" t="inlineStr">
        <is>
          <t>業務行</t>
        </is>
      </c>
      <c r="C59" s="8" t="inlineStr">
        <is>
          <t>HTTP_GET_orders の Request タブ。</t>
        </is>
      </c>
      <c r="D59" s="8" t="inlineStr">
        <is>
          <t>URL のホストが API Gateway。Authorization が Bearer で始まり、${__P(access_token)} が残っていない。X-API-ID の値に ${__P(api_key)} が残っていない。</t>
        </is>
      </c>
      <c r="E59" s="8" t="inlineStr">
        <is>
          <t>応答コード 200、緑。</t>
        </is>
      </c>
      <c r="F59" s="8" t="inlineStr">
        <is>
          <t>401 は 37。403 は 39。ホストが Cognito のままなら、手順 10 と 19 の置き場所に戻る。</t>
        </is>
      </c>
      <c r="G59" s="8" t="inlineStr"/>
    </row>
    <row r="60" ht="56" customHeight="1">
      <c r="A60" s="7" t="inlineStr">
        <is>
          <t>36</t>
        </is>
      </c>
      <c r="B60" s="7" t="inlineStr">
        <is>
          <t>ログ</t>
        </is>
      </c>
      <c r="C60" s="7" t="inlineStr">
        <is>
          <t>結果フォルダではまだ無い。GUI の黒い窓、または bin の jmeter.log の末尾。</t>
        </is>
      </c>
      <c r="D60" s="7" t="inlineStr">
        <is>
          <t>basic_credentials length= と access_token length= と expires_in= がある。</t>
        </is>
      </c>
      <c r="E60" s="7" t="inlineStr">
        <is>
          <t>length が 0 ではない。TOKEN の文字数が 16 のままなら、初期値 TOKEN_NOT_FOUND を送っている。</t>
        </is>
      </c>
      <c r="F60" s="7" t="inlineStr">
        <is>
          <t>ログに eyJ で始まる文字列を出すスクリプトへ書き換えない。</t>
        </is>
      </c>
      <c r="G60" s="7" t="inlineStr"/>
    </row>
    <row r="61" ht="44" customHeight="1">
      <c r="A61" s="8" t="inlineStr">
        <is>
          <t>37</t>
        </is>
      </c>
      <c r="B61" s="8" t="inlineStr">
        <is>
          <t>停止と保存</t>
        </is>
      </c>
      <c r="C61" s="8" t="inlineStr">
        <is>
          <t>成功を見たらシャットダウンで止めてよい。直したら保存。</t>
        </is>
      </c>
      <c r="D61" s="8" t="inlineStr">
        <is>
          <t>Ctrl+S。</t>
        </is>
      </c>
      <c r="E61" s="8" t="inlineStr">
        <is>
          <t>jmx が更新される。</t>
        </is>
      </c>
      <c r="F61" s="8" t="inlineStr">
        <is>
          <t>ここでリスナーを無効にしてから、転送用の保存にする。16 の手順。</t>
        </is>
      </c>
      <c r="G61" s="8" t="inlineStr"/>
    </row>
    <row r="63" ht="22" customHeight="1">
      <c r="A63" s="14" t="inlineStr">
        <is>
          <t>IMG-45    画像差し込み枠    結果ツリーでトークン取得が緑の画面</t>
        </is>
      </c>
      <c r="B63" s="14" t="n"/>
      <c r="C63" s="14" t="n"/>
      <c r="D63" s="14" t="n"/>
      <c r="E63" s="14" t="n"/>
      <c r="F63" s="14" t="n"/>
      <c r="G63" s="14" t="n"/>
    </row>
    <row r="64" ht="148" customHeight="1">
      <c r="A6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手順 32。Sampler result タブ。
画角: サンプル名と応答コード 200。Request と Response data は開かない。トークンが写り込まない構図。
文章は図の下に隠れてもよい。どの図かは 32_画像台帳 の IMG-45 を見る。</t>
        </is>
      </c>
      <c r="B64" s="15" t="n"/>
      <c r="C64" s="15" t="n"/>
      <c r="D64" s="15" t="n"/>
      <c r="E64" s="15" t="n"/>
      <c r="F64" s="15" t="n"/>
      <c r="G64" s="15" t="n"/>
    </row>
    <row r="65" ht="24" customHeight="1">
      <c r="A65" s="5" t="inlineStr">
        <is>
          <t>E. 確認観点と、転送の前の注意</t>
        </is>
      </c>
      <c r="B65" s="5" t="n"/>
      <c r="C65" s="5" t="n"/>
      <c r="D65" s="5" t="n"/>
      <c r="E65" s="5" t="n"/>
      <c r="F65" s="5" t="n"/>
      <c r="G65" s="5" t="n"/>
    </row>
    <row r="66" ht="28" customHeight="1">
      <c r="A66" s="6" t="inlineStr">
        <is>
          <t>観点</t>
        </is>
      </c>
      <c r="B66" s="6" t="inlineStr">
        <is>
          <t>見方</t>
        </is>
      </c>
      <c r="C66" s="6" t="inlineStr">
        <is>
          <t>通った状態</t>
        </is>
      </c>
      <c r="D66" s="6" t="inlineStr">
        <is>
          <t>落ちている状態</t>
        </is>
      </c>
      <c r="E66" s="6" t="inlineStr">
        <is>
          <t>戻る手順</t>
        </is>
      </c>
      <c r="F66" s="6" t="inlineStr"/>
      <c r="G66" s="6" t="inlineStr"/>
    </row>
    <row r="67" ht="32" customHeight="1">
      <c r="A67" s="7" t="inlineStr">
        <is>
          <t>トークンのホスト</t>
        </is>
      </c>
      <c r="B67" s="7" t="inlineStr">
        <is>
          <t>Request の URL</t>
        </is>
      </c>
      <c r="C67" s="7" t="inlineStr">
        <is>
          <t>amazoncognito.com か、合意したカスタムドメイン。</t>
        </is>
      </c>
      <c r="D67" s="7" t="inlineStr">
        <is>
          <t>execute-api のホストへ POST /oauth2/token している。</t>
        </is>
      </c>
      <c r="E67" s="7" t="inlineStr">
        <is>
          <t>10 と 19</t>
        </is>
      </c>
      <c r="F67" s="7" t="inlineStr"/>
      <c r="G67" s="7" t="inlineStr"/>
    </row>
    <row r="68" ht="32" customHeight="1">
      <c r="A68" s="8" t="inlineStr">
        <is>
          <t>業務のホスト</t>
        </is>
      </c>
      <c r="B68" s="8" t="inlineStr">
        <is>
          <t>業務の Request の URL</t>
        </is>
      </c>
      <c r="C68" s="8" t="inlineStr">
        <is>
          <t>API Gateway のホスト。パスにステージがある。</t>
        </is>
      </c>
      <c r="D68" s="8" t="inlineStr">
        <is>
          <t>Cognito のホストへ業務パスを送っている。</t>
        </is>
      </c>
      <c r="E68" s="8" t="inlineStr">
        <is>
          <t>21</t>
        </is>
      </c>
      <c r="F68" s="8" t="inlineStr"/>
      <c r="G68" s="8" t="inlineStr"/>
    </row>
    <row r="69" ht="32" customHeight="1">
      <c r="A69" s="7" t="inlineStr">
        <is>
          <t>Basic</t>
        </is>
      </c>
      <c r="B69" s="7" t="inlineStr">
        <is>
          <t>トークンの Request ヘッダ</t>
        </is>
      </c>
      <c r="C69" s="7" t="inlineStr">
        <is>
          <t>Basic のあとが置換済み。</t>
        </is>
      </c>
      <c r="D69" s="7" t="inlineStr">
        <is>
          <t>${basic_credentials} が残る。または Basic が無い。</t>
        </is>
      </c>
      <c r="E69" s="7" t="inlineStr">
        <is>
          <t>12 と 14、36</t>
        </is>
      </c>
      <c r="F69" s="7" t="inlineStr"/>
      <c r="G69" s="7" t="inlineStr"/>
    </row>
    <row r="70" ht="32" customHeight="1">
      <c r="A70" s="8" t="inlineStr">
        <is>
          <t>Bearer</t>
        </is>
      </c>
      <c r="B70" s="8" t="inlineStr">
        <is>
          <t>業務の Request ヘッダ</t>
        </is>
      </c>
      <c r="C70" s="8" t="inlineStr">
        <is>
          <t>Bearer のあとが置換済み。</t>
        </is>
      </c>
      <c r="D70" s="8" t="inlineStr">
        <is>
          <t>${__P(access_token)} または ${access_token} が残る。</t>
        </is>
      </c>
      <c r="E70" s="8" t="inlineStr">
        <is>
          <t>16 と 23、37</t>
        </is>
      </c>
      <c r="F70" s="8" t="inlineStr"/>
      <c r="G70" s="8" t="inlineStr"/>
    </row>
    <row r="71" ht="32" customHeight="1">
      <c r="A71" s="7" t="inlineStr">
        <is>
          <t>API キーの名前</t>
        </is>
      </c>
      <c r="B71" s="7" t="inlineStr">
        <is>
          <t>業務の Request ヘッダ</t>
        </is>
      </c>
      <c r="C71" s="7" t="inlineStr">
        <is>
          <t>合意した名前が 1 つある。</t>
        </is>
      </c>
      <c r="D71" s="7" t="inlineStr">
        <is>
          <t>名前が違う。またはトークン側にも付いている。</t>
        </is>
      </c>
      <c r="E71" s="7" t="inlineStr">
        <is>
          <t>39</t>
        </is>
      </c>
      <c r="F71" s="7" t="inlineStr"/>
      <c r="G71" s="7" t="inlineStr"/>
    </row>
    <row r="72" ht="32" customHeight="1">
      <c r="A72" s="8" t="inlineStr">
        <is>
          <t>期限</t>
        </is>
      </c>
      <c r="B72" s="8" t="inlineStr">
        <is>
          <t>メモした expires_in と、本番の持続秒</t>
        </is>
      </c>
      <c r="C72" s="8" t="inlineStr">
        <is>
          <t>持続秒の方が小さい。例は 600 と 3600。</t>
        </is>
      </c>
      <c r="D72" s="8" t="inlineStr">
        <is>
          <t>持続の方が長い。後半が 401 になる。</t>
        </is>
      </c>
      <c r="E72" s="8" t="inlineStr">
        <is>
          <t>34 と run-api.sh の -Jduration</t>
        </is>
      </c>
      <c r="F72" s="8" t="inlineStr"/>
      <c r="G72" s="8" t="inlineStr"/>
    </row>
    <row r="73" ht="32" customHeight="1">
      <c r="A73" s="7" t="inlineStr">
        <is>
          <t>リスナー</t>
        </is>
      </c>
      <c r="B73" s="7" t="inlineStr">
        <is>
          <t>ツリーの色</t>
        </is>
      </c>
      <c r="C73" s="7" t="inlineStr">
        <is>
          <t>転送前はグレー（無効）。Filename は空。</t>
        </is>
      </c>
      <c r="D73" s="7" t="inlineStr">
        <is>
          <t>有効なまま、または Filename が入っている。</t>
        </is>
      </c>
      <c r="E73" s="7" t="inlineStr">
        <is>
          <t>16</t>
        </is>
      </c>
      <c r="F73" s="7" t="inlineStr"/>
      <c r="G73" s="7" t="inlineStr"/>
    </row>
    <row r="74" ht="32" customHeight="1">
      <c r="A74" s="8" t="inlineStr">
        <is>
          <t>秘密の混入</t>
        </is>
      </c>
      <c r="B74" s="8" t="inlineStr">
        <is>
          <t>jmx をメモ帳で開いて検索</t>
        </is>
      </c>
      <c r="C74" s="8" t="inlineStr">
        <is>
          <t>client_secret の実値も api_key の実値もヒットしない。</t>
        </is>
      </c>
      <c r="D74" s="8" t="inlineStr">
        <is>
          <t>実値が XML に見える。</t>
        </is>
      </c>
      <c r="E74" s="8" t="inlineStr">
        <is>
          <t>手順 14 と 23 を式に戻して保存し直す。</t>
        </is>
      </c>
      <c r="F74" s="8" t="inlineStr"/>
      <c r="G74" s="8" t="inlineStr"/>
    </row>
    <row r="76" ht="24" customHeight="1">
      <c r="A76" s="5" t="inlineStr">
        <is>
          <t>F. 実行サーバへ置くファイル</t>
        </is>
      </c>
      <c r="B76" s="5" t="n"/>
      <c r="C76" s="5" t="n"/>
      <c r="D76" s="5" t="n"/>
      <c r="E76" s="5" t="n"/>
      <c r="F76" s="5" t="n"/>
      <c r="G76" s="5" t="n"/>
    </row>
    <row r="77" ht="32" customHeight="1">
      <c r="A77" s="25" t="inlineStr">
        <is>
          <t>サーバのディレクトリは /opt/jmeter/plans/api-gateway/ 。JMeter 本体の導入は 18 のまま。バージョンは端末と同じ 5.6.3。置くファイルは 4 つ。api-gateway.jmx、load.properties、secrets.properties、run-api.sh。run-api.sh の改行は LF。secrets.properties を置いたら chmod 600 を、実行ユーザで付ける。結果の jtl は送らない。ワイルドカードで results を一緒に送らない。</t>
        </is>
      </c>
      <c r="B77" s="25" t="n"/>
      <c r="C77" s="25" t="n"/>
      <c r="D77" s="25" t="n"/>
      <c r="E77" s="25" t="n"/>
      <c r="F77" s="25" t="n"/>
      <c r="G77" s="25" t="n"/>
    </row>
    <row r="78" ht="28" customHeight="1">
      <c r="A78" s="6" t="inlineStr">
        <is>
          <t>手順</t>
        </is>
      </c>
      <c r="B78" s="6" t="inlineStr">
        <is>
          <t>どこで</t>
        </is>
      </c>
      <c r="C78" s="6" t="inlineStr">
        <is>
          <t>操作</t>
        </is>
      </c>
      <c r="D78" s="6" t="inlineStr">
        <is>
          <t>入力する値</t>
        </is>
      </c>
      <c r="E78" s="6" t="inlineStr">
        <is>
          <t>うまくいったときの見え方</t>
        </is>
      </c>
      <c r="F78" s="6" t="inlineStr">
        <is>
          <t>つまずきやすい点</t>
        </is>
      </c>
      <c r="G78" s="6" t="inlineStr">
        <is>
          <t>画像</t>
        </is>
      </c>
    </row>
    <row r="79" ht="32" customHeight="1">
      <c r="A79" s="7" t="inlineStr">
        <is>
          <t>38</t>
        </is>
      </c>
      <c r="B79" s="7" t="inlineStr">
        <is>
          <t>端末</t>
        </is>
      </c>
      <c r="C79" s="7" t="inlineStr">
        <is>
          <t>リスナーを無効にして保存した 4 ファイルが、同じフォルダにある。</t>
        </is>
      </c>
      <c r="D79" s="7" t="inlineStr">
        <is>
          <t>dir C:\LoadTest\scenarios\api-gateway</t>
        </is>
      </c>
      <c r="E79" s="7" t="inlineStr">
        <is>
          <t>jmx、load.properties、secrets.properties、run-api.sh。</t>
        </is>
      </c>
      <c r="F79" s="7" t="inlineStr">
        <is>
          <t>jmeter.log を同梱しない。</t>
        </is>
      </c>
      <c r="G79" s="7" t="inlineStr"/>
    </row>
    <row r="80" ht="32" customHeight="1">
      <c r="A80" s="8" t="inlineStr">
        <is>
          <t>39</t>
        </is>
      </c>
      <c r="B80" s="8" t="inlineStr">
        <is>
          <t>サーバ</t>
        </is>
      </c>
      <c r="C80" s="8" t="inlineStr">
        <is>
          <t>ディレクトリを作る。</t>
        </is>
      </c>
      <c r="D80" s="8" t="inlineStr">
        <is>
          <t>mkdir -p /opt/jmeter/plans/api-gateway</t>
        </is>
      </c>
      <c r="E80" s="8" t="inlineStr">
        <is>
          <t>loadtest が書き込める。</t>
        </is>
      </c>
      <c r="F80" s="8" t="inlineStr">
        <is>
          <t>root だけが書けるディレクトリにしない。</t>
        </is>
      </c>
      <c r="G80" s="8" t="inlineStr"/>
    </row>
    <row r="81" ht="32" customHeight="1">
      <c r="A81" s="7" t="inlineStr">
        <is>
          <t>40</t>
        </is>
      </c>
      <c r="B81" s="7" t="inlineStr">
        <is>
          <t>端末 PowerShell</t>
        </is>
      </c>
      <c r="C81" s="7" t="inlineStr">
        <is>
          <t>4 ファイルを送る。</t>
        </is>
      </c>
      <c r="D81" s="7" t="inlineStr">
        <is>
          <t>下の scp。</t>
        </is>
      </c>
      <c r="E81" s="7" t="inlineStr">
        <is>
          <t>プロンプトが戻る。</t>
        </is>
      </c>
      <c r="F81" s="7" t="inlineStr">
        <is>
          <t>secrets だけ送り忘れて、CLI が即失敗する。</t>
        </is>
      </c>
      <c r="G81" s="7" t="inlineStr">
        <is>
          <t>下の枠</t>
        </is>
      </c>
    </row>
    <row r="82" ht="56" customHeight="1">
      <c r="A82" s="8" t="inlineStr">
        <is>
          <t>41</t>
        </is>
      </c>
      <c r="B82" s="8" t="inlineStr">
        <is>
          <t>サーバ</t>
        </is>
      </c>
      <c r="C82" s="8" t="inlineStr">
        <is>
          <t>名前、サイズ、改行、権限。</t>
        </is>
      </c>
      <c r="D82" s="8" t="inlineStr">
        <is>
          <t>cd /opt/jmeter/plans/api-gateway
ls -l
file run-api.sh
chmod 600 secrets.properties</t>
        </is>
      </c>
      <c r="E82" s="8" t="inlineStr">
        <is>
          <t>jmx が 0 バイトではない。run-api.sh に CRLF が無い。secrets が 600。</t>
        </is>
      </c>
      <c r="F82" s="8" t="inlineStr">
        <is>
          <t>CRLF なら sed -i 's/\r$//' run-api.sh のあと、もう一度 file。</t>
        </is>
      </c>
      <c r="G82" s="8" t="inlineStr"/>
    </row>
    <row r="84" ht="22" customHeight="1">
      <c r="A84" s="14" t="inlineStr">
        <is>
          <t>IMG-46    画像差し込み枠    サーバの plans/api-gateway の ls -l</t>
        </is>
      </c>
      <c r="B84" s="14" t="n"/>
      <c r="C84" s="14" t="n"/>
      <c r="D84" s="14" t="n"/>
      <c r="E84" s="14" t="n"/>
      <c r="F84" s="14" t="n"/>
      <c r="G84" s="14" t="n"/>
    </row>
    <row r="85" ht="148" customHeight="1">
      <c r="A8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chmod のあと。
画角: 4 ファイルの名前とサイズ。secrets.properties の権限が 600。中身は開かない。
文章は図の下に隠れてもよい。どの図かは 32_画像台帳 の IMG-46 を見る。</t>
        </is>
      </c>
      <c r="B85" s="15" t="n"/>
      <c r="C85" s="15" t="n"/>
      <c r="D85" s="15" t="n"/>
      <c r="E85" s="15" t="n"/>
      <c r="F85" s="15" t="n"/>
      <c r="G85" s="15" t="n"/>
    </row>
    <row r="86" ht="24" customHeight="1">
      <c r="A86" s="5" t="inlineStr">
        <is>
          <t>G. CLI で jmx、jtl、ログを指定する</t>
        </is>
      </c>
      <c r="B86" s="5" t="n"/>
      <c r="C86" s="5" t="n"/>
      <c r="D86" s="5" t="n"/>
      <c r="E86" s="5" t="n"/>
      <c r="F86" s="5" t="n"/>
      <c r="G86" s="5" t="n"/>
    </row>
    <row r="87" ht="32" customHeight="1">
      <c r="A87" s="25" t="inlineStr">
        <is>
          <t>監視の 1 行の読み方と止め方は 20。ここでは、このシナリオのコマンドが何を指定しているかだけを固定する。run-api.sh が同じ指定を行う。手で打つときは、結果ディレクトリを先に作り、html-report は作らない。</t>
        </is>
      </c>
      <c r="B87" s="25" t="n"/>
      <c r="C87" s="25" t="n"/>
      <c r="D87" s="25" t="n"/>
      <c r="E87" s="25" t="n"/>
      <c r="F87" s="25" t="n"/>
      <c r="G87" s="25" t="n"/>
    </row>
    <row r="88" ht="28" customHeight="1">
      <c r="A88" s="6" t="inlineStr">
        <is>
          <t>オプション</t>
        </is>
      </c>
      <c r="B88" s="6" t="inlineStr">
        <is>
          <t>このシナリオでの値</t>
        </is>
      </c>
      <c r="C88" s="6" t="inlineStr">
        <is>
          <t>指定しているもの</t>
        </is>
      </c>
      <c r="D88" s="6" t="inlineStr">
        <is>
          <t>間違うと</t>
        </is>
      </c>
      <c r="E88" s="6" t="inlineStr"/>
      <c r="F88" s="6" t="inlineStr"/>
      <c r="G88" s="6" t="inlineStr"/>
    </row>
    <row r="89" ht="32" customHeight="1">
      <c r="A89" s="7" t="inlineStr">
        <is>
          <t>-n</t>
        </is>
      </c>
      <c r="B89" s="7" t="inlineStr">
        <is>
          <t>-n</t>
        </is>
      </c>
      <c r="C89" s="7" t="inlineStr">
        <is>
          <t>CLI。画面を出さない。</t>
        </is>
      </c>
      <c r="D89" s="7" t="inlineStr">
        <is>
          <t>ディスプレイの無いサーバで GUI を開こうとして落ちる。</t>
        </is>
      </c>
      <c r="E89" s="7" t="inlineStr"/>
      <c r="F89" s="7" t="inlineStr"/>
      <c r="G89" s="7" t="inlineStr"/>
    </row>
    <row r="90" ht="32" customHeight="1">
      <c r="A90" s="8" t="inlineStr">
        <is>
          <t>-t</t>
        </is>
      </c>
      <c r="B90" s="8" t="inlineStr">
        <is>
          <t>/opt/jmeter/plans/api-gateway/api-gateway.jmx</t>
        </is>
      </c>
      <c r="C90" s="8" t="inlineStr">
        <is>
          <t>シナリオ。</t>
        </is>
      </c>
      <c r="D90" s="8" t="inlineStr">
        <is>
          <t>order-search.jmx を指定すると、別の試験を流す。</t>
        </is>
      </c>
      <c r="E90" s="8" t="inlineStr"/>
      <c r="F90" s="8" t="inlineStr"/>
      <c r="G90" s="8" t="inlineStr"/>
    </row>
    <row r="91" ht="32" customHeight="1">
      <c r="A91" s="7" t="inlineStr">
        <is>
          <t>-l</t>
        </is>
      </c>
      <c r="B91" s="7" t="inlineStr">
        <is>
          <t>/opt/jmeter/results/api-gateway_日時/result.jtl</t>
        </is>
      </c>
      <c r="C91" s="7" t="inlineStr">
        <is>
          <t>サンプル結果。1 行が 1 リクエスト。</t>
        </is>
      </c>
      <c r="D91" s="7" t="inlineStr">
        <is>
          <t>既存ファイルだと追記される。日時入りの新パスにする。</t>
        </is>
      </c>
      <c r="E91" s="7" t="inlineStr"/>
      <c r="F91" s="7" t="inlineStr"/>
      <c r="G91" s="7" t="inlineStr"/>
    </row>
    <row r="92" ht="32" customHeight="1">
      <c r="A92" s="8" t="inlineStr">
        <is>
          <t>-j</t>
        </is>
      </c>
      <c r="B92" s="8" t="inlineStr">
        <is>
          <t>同じフォルダ/jmeter.log</t>
        </is>
      </c>
      <c r="C92" s="8" t="inlineStr">
        <is>
          <t>JMeter 自身のログ。length の行はここ。</t>
        </is>
      </c>
      <c r="D92" s="8" t="inlineStr">
        <is>
          <t>付け忘れると、bin やカレントの jmeter.log を上書きする。</t>
        </is>
      </c>
      <c r="E92" s="8" t="inlineStr"/>
      <c r="F92" s="8" t="inlineStr"/>
      <c r="G92" s="8" t="inlineStr"/>
    </row>
    <row r="93" ht="56" customHeight="1">
      <c r="A93" s="7" t="inlineStr">
        <is>
          <t>-q</t>
        </is>
      </c>
      <c r="B93" s="7" t="inlineStr">
        <is>
          <t>load.properties と、もう一度 -q で secrets.properties</t>
        </is>
      </c>
      <c r="C93" s="7" t="inlineStr">
        <is>
          <t>ホストと、秘密。JMeter 5.6.3 は -q の重複を許す。後のファイルが同じキーを上書きする。</t>
        </is>
      </c>
      <c r="D93" s="7" t="inlineStr">
        <is>
          <t>パスが無いと警告だけ出して続行する。client_id が空になり invalid_client になる。jmeter.log の Can't find additional property file を見る。</t>
        </is>
      </c>
      <c r="E93" s="7" t="inlineStr"/>
      <c r="F93" s="7" t="inlineStr"/>
      <c r="G93" s="7" t="inlineStr"/>
    </row>
    <row r="94" ht="32" customHeight="1">
      <c r="A94" s="8" t="inlineStr">
        <is>
          <t>-J</t>
        </is>
      </c>
      <c r="B94" s="8" t="inlineStr">
        <is>
          <t>-Jthreads=50 -Jramp=60 -Jduration=600</t>
        </is>
      </c>
      <c r="C94" s="8" t="inlineStr">
        <is>
          <t>業務スレッドの式。setUp の 1 は変わらない。</t>
        </is>
      </c>
      <c r="D94" s="8" t="inlineStr">
        <is>
          <t>duration を expires_in 以上にすると、後半が 401 になる。</t>
        </is>
      </c>
      <c r="E94" s="8" t="inlineStr"/>
      <c r="F94" s="8" t="inlineStr"/>
      <c r="G94" s="8" t="inlineStr"/>
    </row>
    <row r="95" ht="32" customHeight="1">
      <c r="A95" s="7" t="inlineStr">
        <is>
          <t>-e -o</t>
        </is>
      </c>
      <c r="B95" s="7" t="inlineStr">
        <is>
          <t>同じフォルダ/html-report</t>
        </is>
      </c>
      <c r="C95" s="7" t="inlineStr">
        <is>
          <t>終了後の HTML と statistics.json。</t>
        </is>
      </c>
      <c r="D95" s="7" t="inlineStr">
        <is>
          <t>html-report を先に mkdir すると、空でないフォルダとして失敗する。</t>
        </is>
      </c>
      <c r="E95" s="7" t="inlineStr"/>
      <c r="F95" s="7" t="inlineStr"/>
      <c r="G95" s="7" t="inlineStr"/>
    </row>
    <row r="97" ht="28" customHeight="1">
      <c r="A97" s="6" t="inlineStr">
        <is>
          <t>手順</t>
        </is>
      </c>
      <c r="B97" s="6" t="inlineStr">
        <is>
          <t>どこで</t>
        </is>
      </c>
      <c r="C97" s="6" t="inlineStr">
        <is>
          <t>操作</t>
        </is>
      </c>
      <c r="D97" s="6" t="inlineStr">
        <is>
          <t>入力する値</t>
        </is>
      </c>
      <c r="E97" s="6" t="inlineStr">
        <is>
          <t>うまくいったときの見え方</t>
        </is>
      </c>
      <c r="F97" s="6" t="inlineStr">
        <is>
          <t>つまずきやすい点</t>
        </is>
      </c>
      <c r="G97" s="6" t="inlineStr">
        <is>
          <t>画像</t>
        </is>
      </c>
    </row>
    <row r="98" ht="32" customHeight="1">
      <c r="A98" s="7" t="inlineStr">
        <is>
          <t>42</t>
        </is>
      </c>
      <c r="B98" s="7" t="inlineStr">
        <is>
          <t>tmux</t>
        </is>
      </c>
      <c r="C98" s="7" t="inlineStr">
        <is>
          <t>19 と同じ。セッションの中で流す。</t>
        </is>
      </c>
      <c r="D98" s="7" t="inlineStr">
        <is>
          <t>tmux new -s loadtest</t>
        </is>
      </c>
      <c r="E98" s="7" t="inlineStr">
        <is>
          <t>切断してもプロセスが残る。</t>
        </is>
      </c>
      <c r="F98" s="7" t="inlineStr">
        <is>
          <t>SSH の窓を閉じると、試験が終わる。</t>
        </is>
      </c>
      <c r="G98" s="7" t="inlineStr"/>
    </row>
    <row r="99" ht="44" customHeight="1">
      <c r="A99" s="8" t="inlineStr">
        <is>
          <t>43</t>
        </is>
      </c>
      <c r="B99" s="8" t="inlineStr">
        <is>
          <t>1 人</t>
        </is>
      </c>
      <c r="C99" s="8" t="inlineStr">
        <is>
          <t>run-api.sh をコピーし、threads=1、ramp=1、duration=60 にしたものを先に流す。</t>
        </is>
      </c>
      <c r="D99" s="8" t="inlineStr">
        <is>
          <t>bash run-api-1user.sh</t>
        </is>
      </c>
      <c r="E99" s="8" t="inlineStr">
        <is>
          <t>summary の Active が 1。Err が 0。</t>
        </is>
      </c>
      <c r="F99" s="8" t="inlineStr">
        <is>
          <t>最初から 50 で流さない。</t>
        </is>
      </c>
      <c r="G99" s="8" t="inlineStr"/>
    </row>
    <row r="100" ht="32" customHeight="1">
      <c r="A100" s="7" t="inlineStr">
        <is>
          <t>44</t>
        </is>
      </c>
      <c r="B100" s="7" t="inlineStr">
        <is>
          <t>本番</t>
        </is>
      </c>
      <c r="C100" s="7" t="inlineStr">
        <is>
          <t>合意した値の run-api.sh。</t>
        </is>
      </c>
      <c r="D100" s="7" t="inlineStr">
        <is>
          <t>bash /opt/jmeter/plans/api-gateway/run-api.sh</t>
        </is>
      </c>
      <c r="E100" s="7" t="inlineStr">
        <is>
          <t>最後に結果ディレクトリのパスが出る。</t>
        </is>
      </c>
      <c r="F100" s="7" t="inlineStr">
        <is>
          <t>そのパスをチケットに書く。次の実行と混ぜない。</t>
        </is>
      </c>
      <c r="G100" s="7" t="inlineStr">
        <is>
          <t>下の枠</t>
        </is>
      </c>
    </row>
    <row r="101" ht="44" customHeight="1">
      <c r="A101" s="8" t="inlineStr">
        <is>
          <t>45</t>
        </is>
      </c>
      <c r="B101" s="8" t="inlineStr">
        <is>
          <t>回収と Excel</t>
        </is>
      </c>
      <c r="C101" s="8" t="inlineStr">
        <is>
          <t>22 のとおりフォルダごと端末へ戻す。23 で statistics.json を読む。</t>
        </is>
      </c>
      <c r="D101" s="8" t="inlineStr">
        <is>
          <t>26 に貼る行は業務の label だけ。トークン行の扱いは 34 の末尾。</t>
        </is>
      </c>
      <c r="E101" s="8" t="inlineStr">
        <is>
          <t>総合判定と見込みの文章がある。</t>
        </is>
      </c>
      <c r="F101" s="8" t="inlineStr">
        <is>
          <t>HTTP_POST_cognito_token の平均を、業務の性能として 26 に入れる。</t>
        </is>
      </c>
      <c r="G101" s="8" t="inlineStr"/>
    </row>
    <row r="103" ht="22" customHeight="1">
      <c r="A103" s="14" t="inlineStr">
        <is>
          <t>IMG-47    画像差し込み枠    run-api.sh 実行後の summary</t>
        </is>
      </c>
      <c r="B103" s="14" t="n"/>
      <c r="C103" s="14" t="n"/>
      <c r="D103" s="14" t="n"/>
      <c r="E103" s="14" t="n"/>
      <c r="F103" s="14" t="n"/>
      <c r="G103" s="14" t="n"/>
    </row>
    <row r="104" ht="148" customHeight="1">
      <c r="A10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1 人の実行で、summary が 1 行出たところ。
画角: Active と Err が読める。コマンドラインに秘密の値が展開されていない。
文章は図の下に隠れてもよい。どの図かは 32_画像台帳 の IMG-47 を見る。</t>
        </is>
      </c>
      <c r="B104" s="15" t="n"/>
      <c r="C104" s="15" t="n"/>
      <c r="D104" s="15" t="n"/>
      <c r="E104" s="15" t="n"/>
      <c r="F104" s="15" t="n"/>
      <c r="G104" s="15" t="n"/>
    </row>
    <row r="105" ht="24" customHeight="1">
      <c r="A105" s="5" t="inlineStr">
        <is>
          <t>写し（35 からコピーする）</t>
        </is>
      </c>
      <c r="B105" s="5" t="n"/>
      <c r="C105" s="5" t="n"/>
      <c r="D105" s="5" t="n"/>
      <c r="E105" s="5" t="n"/>
      <c r="F105" s="5" t="n"/>
      <c r="G105" s="5" t="n"/>
    </row>
    <row r="106" ht="28" customHeight="1">
      <c r="A106" s="25" t="inlineStr">
        <is>
          <t>GUI の起動。秘密の値はコマンドラインに直接書かない。-q のファイルに置く。</t>
        </is>
      </c>
      <c r="B106" s="25" t="n"/>
      <c r="C106" s="25" t="n"/>
      <c r="D106" s="25" t="n"/>
      <c r="E106" s="25" t="n"/>
      <c r="F106" s="25" t="n"/>
      <c r="G106" s="25" t="n"/>
    </row>
    <row r="107" ht="48" customHeight="1">
      <c r="A107" s="7" t="inlineStr">
        <is>
          <t>cd C:\Tools\apache-jmeter-5.6.3\bin
.\jmeter.bat -q C:\LoadTest\scenarios\api-gateway\load.properties -q C:\LoadTest\scenarios\api-gateway\secrets.properties</t>
        </is>
      </c>
      <c r="B107" s="7" t="n"/>
      <c r="C107" s="7" t="n"/>
      <c r="D107" s="7" t="n"/>
      <c r="E107" s="7" t="n"/>
      <c r="F107" s="7" t="n"/>
      <c r="G107" s="7" t="n"/>
    </row>
    <row r="108" ht="28" customHeight="1">
      <c r="A108" s="25" t="inlineStr">
        <is>
          <t>load.properties</t>
        </is>
      </c>
      <c r="B108" s="25" t="n"/>
      <c r="C108" s="25" t="n"/>
      <c r="D108" s="25" t="n"/>
      <c r="E108" s="25" t="n"/>
      <c r="F108" s="25" t="n"/>
      <c r="G108" s="25" t="n"/>
    </row>
    <row r="109" ht="99" customHeight="1">
      <c r="A109" s="7" t="inlineStr">
        <is>
          <t># plans/api-gateway/load.properties
# 秘密は書かない。secrets.properties とキーを重ねない。
cognito.host=example.auth.ap-northeast-1.amazoncognito.com
api.host=abc123def.execute-api.ap-northeast-1.amazonaws.com
api.stage=prod
scope=resource-server/read</t>
        </is>
      </c>
      <c r="B109" s="7" t="n"/>
      <c r="C109" s="7" t="n"/>
      <c r="D109" s="7" t="n"/>
      <c r="E109" s="7" t="n"/>
      <c r="F109" s="7" t="n"/>
      <c r="G109" s="7" t="n"/>
    </row>
    <row r="110" ht="28" customHeight="1">
      <c r="A110" s="25" t="inlineStr">
        <is>
          <t>secrets.properties の形。右の値は現場の値に置き換えてから保存する。</t>
        </is>
      </c>
      <c r="B110" s="25" t="n"/>
      <c r="C110" s="25" t="n"/>
      <c r="D110" s="25" t="n"/>
      <c r="E110" s="25" t="n"/>
      <c r="F110" s="25" t="n"/>
      <c r="G110" s="25" t="n"/>
    </row>
    <row r="111" ht="114" customHeight="1">
      <c r="A111" s="7" t="inlineStr">
        <is>
          <t># secrets.properties
# 秘密。git、メール、Excel、スクリーンショット、run-conditions.txt に入れない。
# 値は引用符で囲まない。引用符も値の一部になる。
# バックスラッシュが秘密に含まれるときだけ、\\ と二重にする。
client_id=置き換える
client_secret=置き換える
api_key=置き換える</t>
        </is>
      </c>
      <c r="B111" s="7" t="n"/>
      <c r="C111" s="7" t="n"/>
      <c r="D111" s="7" t="n"/>
      <c r="E111" s="7" t="n"/>
      <c r="F111" s="7" t="n"/>
      <c r="G111" s="7" t="n"/>
    </row>
    <row r="112" ht="28" customHeight="1">
      <c r="A112" s="25" t="inlineStr">
        <is>
          <t>PP_basicを作る のスクリプト。</t>
        </is>
      </c>
      <c r="B112" s="25" t="n"/>
      <c r="C112" s="25" t="n"/>
      <c r="D112" s="25" t="n"/>
      <c r="E112" s="25" t="n"/>
      <c r="F112" s="25" t="n"/>
      <c r="G112" s="25" t="n"/>
    </row>
    <row r="113" ht="204" customHeight="1">
      <c r="A113" s="7" t="inlineStr">
        <is>
          <t>// 名前: PP_basicを作る
// Language: groovy
// Cache compiled script if available: オン
// 値そのものはログに出さない。長さだけ出す。
String id = props.get("client_id")
String secret = props.get("client_secret")
if (id == null || secret == null || id.trim().isEmpty() || secret.trim().isEmpty()) {
    throw new IllegalStateException("client_id または client_secret が無い。jmeter.bat を -q secrets.properties 付きで起動し直す。")
}
String raw = id + ":" + secret
String b64 = java.util.Base64.getEncoder().encodeToString(raw.getBytes("UTF-8"))
vars.put("basic_credentials", b64)
log.info("basic_credentials length=" + b64.length())</t>
        </is>
      </c>
      <c r="B113" s="7" t="n"/>
      <c r="C113" s="7" t="n"/>
      <c r="D113" s="7" t="n"/>
      <c r="E113" s="7" t="n"/>
      <c r="F113" s="7" t="n"/>
      <c r="G113" s="7" t="n"/>
    </row>
    <row r="114" ht="28" customHeight="1">
      <c r="A114" s="25" t="inlineStr">
        <is>
          <t>PP_トークンを全体へ のスクリプト。</t>
        </is>
      </c>
      <c r="B114" s="25" t="n"/>
      <c r="C114" s="25" t="n"/>
      <c r="D114" s="25" t="n"/>
      <c r="E114" s="25" t="n"/>
      <c r="F114" s="25" t="n"/>
      <c r="G114" s="25" t="n"/>
    </row>
    <row r="115" ht="159" customHeight="1">
      <c r="A115" s="7" t="inlineStr">
        <is>
          <t>// 名前: PP_トークンを全体へ
// Language: groovy
// この要素は JSON Extractor より下に置く。上にあると、まだ変数が無い。
String token = vars.get("access_token")
if (token == null || "TOKEN_NOT_FOUND".equals(token) || token.trim().isEmpty()) {
    throw new IllegalStateException("access_token が取れていない。応答と JSON Path を見る。")
}
props.put("access_token", token)
String expires = vars.get("expires_in")
log.info("access_token length=" + token.length() + " expires_in=" + expires)</t>
        </is>
      </c>
      <c r="B115" s="7" t="n"/>
      <c r="C115" s="7" t="n"/>
      <c r="D115" s="7" t="n"/>
      <c r="E115" s="7" t="n"/>
      <c r="F115" s="7" t="n"/>
      <c r="G115" s="7" t="n"/>
    </row>
    <row r="116" ht="28" customHeight="1">
      <c r="A116" s="25" t="inlineStr">
        <is>
          <t>run-api.sh。改行は LF。threads、ramp、duration は、ファイルの中の -J と run-conditions.txt を同じ値にする。</t>
        </is>
      </c>
      <c r="B116" s="25" t="n"/>
      <c r="C116" s="25" t="n"/>
      <c r="D116" s="25" t="n"/>
      <c r="E116" s="25" t="n"/>
      <c r="F116" s="25" t="n"/>
      <c r="G116" s="25" t="n"/>
    </row>
    <row r="117" ht="249" customHeight="1">
      <c r="A117" s="7" t="inlineStr">
        <is>
          <t>#!/bin/bash
# Cognito でトークンを 1 回取り、API Gateway を叩く。秘密の値は書かない。
set -euo pipefail
JMETER_HOME=/opt/jmeter/apache-jmeter-5.6.3
PLAN=/opt/jmeter/plans/api-gateway/api-gateway.jmx
PROP=/opt/jmeter/plans/api-gateway/load.properties
SECRET=/opt/jmeter/plans/api-gateway/secrets.properties
STAMP=$(date +%Y%m%d_%H%M%S)
OUT=/opt/jmeter/results/api-gateway_${STAMP}
mkdir -p "$OUT"
test -f "$PLAN"
test -f "$PROP"
test -f "$SECRET"
cat &gt; "$OUT/run-conditions.txt" &lt;&lt;EOF
plan=$PLAN
threads=50</t>
        </is>
      </c>
      <c r="B117" s="7" t="n"/>
      <c r="C117" s="7" t="n"/>
      <c r="D117" s="7" t="n"/>
      <c r="E117" s="7" t="n"/>
      <c r="F117" s="7" t="n"/>
      <c r="G117" s="7" t="n"/>
    </row>
    <row r="118" ht="249" customHeight="1">
      <c r="A118" s="7" t="inlineStr">
        <is>
          <t>ramp=60
duration=600
stamp=$STAMP
hostname=$(hostname)
date=$(date '+%Y-%m-%d %H:%M:%S %Z')
secret_file=secrets.properties
api_header=X-API-ID
cognito=setUp で 1 回
EOF
"$JMETER_HOME/bin/jmeter" \
  -n \
  -t "$PLAN" \
  -l "$OUT/result.jtl" \
  -j "$OUT/jmeter.log" \
  -q "$PROP" \
  -q "$SECRET" \</t>
        </is>
      </c>
      <c r="B118" s="7" t="n"/>
      <c r="C118" s="7" t="n"/>
      <c r="D118" s="7" t="n"/>
      <c r="E118" s="7" t="n"/>
      <c r="F118" s="7" t="n"/>
      <c r="G118" s="7" t="n"/>
    </row>
    <row r="119" ht="99" customHeight="1">
      <c r="A119" s="7" t="inlineStr">
        <is>
          <t xml:space="preserve">  -Jthreads=50 \
  -Jramp=60 \
  -Jduration=600 \
  -e \
  -o "$OUT/html-report"
echo "結果ディレクトリ=$OUT"</t>
        </is>
      </c>
      <c r="B119" s="7" t="n"/>
      <c r="C119" s="7" t="n"/>
      <c r="D119" s="7" t="n"/>
      <c r="E119" s="7" t="n"/>
      <c r="F119" s="7" t="n"/>
      <c r="G119" s="7" t="n"/>
    </row>
    <row r="120" ht="44" customHeight="1">
      <c r="A120" s="33" t="inlineStr">
        <is>
          <t>転送の例。
scp C:\LoadTest\scenarios\api-gateway\api-gateway.jmx C:\LoadTest\scenarios\api-gateway\load.properties C:\LoadTest\scenarios\api-gateway\secrets.properties C:\LoadTest\scenarios\api-gateway\run-api.sh loadtest@jmeter-runner.example.internal:/opt/jmeter/plans/api-gateway/</t>
        </is>
      </c>
      <c r="B120" s="33" t="n"/>
      <c r="C120" s="33" t="n"/>
      <c r="D120" s="33" t="n"/>
      <c r="E120" s="33" t="n"/>
      <c r="F120" s="33" t="n"/>
      <c r="G120" s="33" t="n"/>
    </row>
  </sheetData>
  <mergeCells count="44">
    <mergeCell ref="A32:G32"/>
    <mergeCell ref="A14:G14"/>
    <mergeCell ref="A116:G116"/>
    <mergeCell ref="A106:G106"/>
    <mergeCell ref="A109:G109"/>
    <mergeCell ref="A35:G35"/>
    <mergeCell ref="A4:G4"/>
    <mergeCell ref="A112:G112"/>
    <mergeCell ref="A63:G63"/>
    <mergeCell ref="A115:G115"/>
    <mergeCell ref="A117:G117"/>
    <mergeCell ref="A111:G111"/>
    <mergeCell ref="A31:G31"/>
    <mergeCell ref="A77:G77"/>
    <mergeCell ref="A34:G34"/>
    <mergeCell ref="A114:G114"/>
    <mergeCell ref="A48:G48"/>
    <mergeCell ref="A15:G15"/>
    <mergeCell ref="A64:G64"/>
    <mergeCell ref="A49:G49"/>
    <mergeCell ref="A107:G107"/>
    <mergeCell ref="A103:G103"/>
    <mergeCell ref="A119:G119"/>
    <mergeCell ref="A1:G1"/>
    <mergeCell ref="A110:G110"/>
    <mergeCell ref="A6:G6"/>
    <mergeCell ref="A87:G87"/>
    <mergeCell ref="A7:G7"/>
    <mergeCell ref="A65:G65"/>
    <mergeCell ref="A108:G108"/>
    <mergeCell ref="A84:G84"/>
    <mergeCell ref="A118:G118"/>
    <mergeCell ref="A120:G120"/>
    <mergeCell ref="A3:G3"/>
    <mergeCell ref="A105:G105"/>
    <mergeCell ref="A50:G50"/>
    <mergeCell ref="A2:G2"/>
    <mergeCell ref="A86:G86"/>
    <mergeCell ref="A104:G104"/>
    <mergeCell ref="A113:G113"/>
    <mergeCell ref="A76:G76"/>
    <mergeCell ref="A33:G33"/>
    <mergeCell ref="A85:G8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36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ヘッダ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client_id と client_secret を Base64 にして Authorization に入れる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Cognito の client_secret_basic。文字列は client_id、コロン、client_secret。エンコード結果の前に Basic と半角空白を付ける。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何をエンコードするか</t>
        </is>
      </c>
      <c r="B6" s="5" t="n"/>
      <c r="C6" s="5" t="n"/>
      <c r="D6" s="5" t="n"/>
      <c r="E6" s="5" t="n"/>
      <c r="F6" s="5" t="n"/>
      <c r="G6" s="5" t="n"/>
    </row>
    <row r="7" ht="44" customHeight="1">
      <c r="A7" s="25" t="inlineStr">
        <is>
          <t>エンコードする文字列は、client_id と client_secret を半角コロン 1 つでつなげたもの。コロンの前後に空白は入れない。エンコードするのはこの文字列だけで、Basic という語はエンコードしない。ヘッダの値は、Basic、半角空白、エンコード結果、の順。Cognito の公開例は、client_id が djc98u3jiedmi283eu928、client_secret が abcdef01234567890。この 2 つをコロンでつなげた文字列の Base64 が ZGpjOTh1M2ppZWRtaTI4M2V1OTI4OmFiY2RlZjAxMjM0NTY3ODkw。手順の確認はこの公開例で行い、実値の確認結果は残さない。</t>
        </is>
      </c>
      <c r="B7" s="25" t="n"/>
      <c r="C7" s="25" t="n"/>
      <c r="D7" s="25" t="n"/>
      <c r="E7" s="25" t="n"/>
      <c r="F7" s="25" t="n"/>
      <c r="G7" s="25" t="n"/>
    </row>
    <row r="8" ht="28" customHeight="1">
      <c r="A8" s="6" t="inlineStr">
        <is>
          <t>段階</t>
        </is>
      </c>
      <c r="B8" s="6" t="inlineStr">
        <is>
          <t>文字</t>
        </is>
      </c>
      <c r="C8" s="6" t="inlineStr">
        <is>
          <t>例（公開例）</t>
        </is>
      </c>
      <c r="D8" s="6" t="inlineStr">
        <is>
          <t>入る場所</t>
        </is>
      </c>
      <c r="E8" s="6" t="inlineStr">
        <is>
          <t>誤り</t>
        </is>
      </c>
      <c r="F8" s="6" t="inlineStr"/>
      <c r="G8" s="6" t="inlineStr"/>
    </row>
    <row r="9" ht="32" customHeight="1">
      <c r="A9" s="7" t="inlineStr">
        <is>
          <t>材料</t>
        </is>
      </c>
      <c r="B9" s="7" t="inlineStr">
        <is>
          <t>client_id:client_secret</t>
        </is>
      </c>
      <c r="C9" s="7" t="inlineStr">
        <is>
          <t>djc98u3jiedmi283eu928:abcdef01234567890</t>
        </is>
      </c>
      <c r="D9" s="7" t="inlineStr">
        <is>
          <t>スクリプトの中だけ。jmx には残さない。</t>
        </is>
      </c>
      <c r="E9" s="7" t="inlineStr">
        <is>
          <t>コロンが全角。前後に空白。</t>
        </is>
      </c>
      <c r="F9" s="7" t="inlineStr"/>
      <c r="G9" s="7" t="inlineStr"/>
    </row>
    <row r="10" ht="32" customHeight="1">
      <c r="A10" s="8" t="inlineStr">
        <is>
          <t>エンコード結果</t>
        </is>
      </c>
      <c r="B10" s="8" t="inlineStr">
        <is>
          <t>標準の Base64。+ と / と末尾の = を使う。</t>
        </is>
      </c>
      <c r="C10" s="8" t="inlineStr">
        <is>
          <t>ZGpjOTh1M2ppZWRtaTI4M2V1OTI4OmFiY2RlZjAxMjM0NTY3ODkw</t>
        </is>
      </c>
      <c r="D10" s="8" t="inlineStr">
        <is>
          <t>変数 basic_credentials。</t>
        </is>
      </c>
      <c r="E10" s="8" t="inlineStr">
        <is>
          <t>URL 用の Base64（+ を - にする方式）。改行が入った結果。</t>
        </is>
      </c>
      <c r="F10" s="8" t="inlineStr"/>
      <c r="G10" s="8" t="inlineStr"/>
    </row>
    <row r="11" ht="32" customHeight="1">
      <c r="A11" s="7" t="inlineStr">
        <is>
          <t>ヘッダ</t>
        </is>
      </c>
      <c r="B11" s="7" t="inlineStr">
        <is>
          <t>Authorization</t>
        </is>
      </c>
      <c r="C11" s="7" t="inlineStr">
        <is>
          <t>Basic のあと半角空白、そのあと変数。</t>
        </is>
      </c>
      <c r="D11" s="7" t="inlineStr">
        <is>
          <t>HM_トークンの値の欄。Basic ${basic_credentials}</t>
        </is>
      </c>
      <c r="E11" s="7" t="inlineStr">
        <is>
          <t>Bearer と書く。引用符で全体を囲む。</t>
        </is>
      </c>
      <c r="F11" s="7" t="inlineStr"/>
      <c r="G11" s="7" t="inlineStr"/>
    </row>
    <row r="13" ht="24" customHeight="1">
      <c r="A13" s="5" t="inlineStr">
        <is>
          <t>JMeter での作り方</t>
        </is>
      </c>
      <c r="B13" s="5" t="n"/>
      <c r="C13" s="5" t="n"/>
      <c r="D13" s="5" t="n"/>
      <c r="E13" s="5" t="n"/>
      <c r="F13" s="5" t="n"/>
      <c r="G13" s="5" t="n"/>
    </row>
    <row r="14" ht="44" customHeight="1">
      <c r="A14" s="25" t="inlineStr">
        <is>
          <t>JMeter 5.6.3 の関数一覧に、Base64 用の関数は無い。__groovy で 1 行に書く方法はあるが、引数のコンマを \, と書く必要があり、秘密のコンマで壊れやすい。この手順は JSR223 PreProcessor に Groovy を書く。エンコードは java.util.Base64.getEncoder()。このエンコーダは改行を入れない。Groovy の byte[].encodeBase64() は使わない。長い秘密で 76 文字ごとに改行が入り、ヘッダが 2 行になって Cognito が拒否する。</t>
        </is>
      </c>
      <c r="B14" s="25" t="n"/>
      <c r="C14" s="25" t="n"/>
      <c r="D14" s="25" t="n"/>
      <c r="E14" s="25" t="n"/>
      <c r="F14" s="25" t="n"/>
      <c r="G14" s="25" t="n"/>
    </row>
    <row r="15" ht="204" customHeight="1">
      <c r="A15" s="7" t="inlineStr">
        <is>
          <t>// 名前: PP_basicを作る
// Language: groovy
// Cache compiled script if available: オン
// 値そのものはログに出さない。長さだけ出す。
String id = props.get("client_id")
String secret = props.get("client_secret")
if (id == null || secret == null || id.trim().isEmpty() || secret.trim().isEmpty()) {
    throw new IllegalStateException("client_id または client_secret が無い。jmeter.bat を -q secrets.properties 付きで起動し直す。")
}
String raw = id + ":" + secret
String b64 = java.util.Base64.getEncoder().encodeToString(raw.getBytes("UTF-8"))
vars.put("basic_credentials", b64)
log.info("basic_credentials length=" + b64.length())</t>
        </is>
      </c>
      <c r="B15" s="7" t="n"/>
      <c r="C15" s="7" t="n"/>
      <c r="D15" s="7" t="n"/>
      <c r="E15" s="7" t="n"/>
      <c r="F15" s="7" t="n"/>
      <c r="G15" s="7" t="n"/>
    </row>
    <row r="16" ht="28" customHeight="1">
      <c r="A16" s="6" t="inlineStr">
        <is>
          <t>行の意味</t>
        </is>
      </c>
      <c r="B16" s="6" t="inlineStr">
        <is>
          <t>コード</t>
        </is>
      </c>
      <c r="C16" s="6" t="inlineStr">
        <is>
          <t>結果</t>
        </is>
      </c>
      <c r="D16" s="6" t="inlineStr">
        <is>
          <t>失敗の見え方</t>
        </is>
      </c>
      <c r="E16" s="6" t="inlineStr">
        <is>
          <t>直し方</t>
        </is>
      </c>
      <c r="F16" s="6" t="inlineStr"/>
      <c r="G16" s="6" t="inlineStr"/>
    </row>
    <row r="17" ht="44" customHeight="1">
      <c r="A17" s="7" t="inlineStr">
        <is>
          <t>秘密を読む</t>
        </is>
      </c>
      <c r="B17" s="7" t="inlineStr">
        <is>
          <t>props.get("client_id")</t>
        </is>
      </c>
      <c r="C17" s="7" t="inlineStr">
        <is>
          <t>起動時の -q か -J の値。</t>
        </is>
      </c>
      <c r="D17" s="7" t="inlineStr">
        <is>
          <t>null でサンプラーが失敗し、ログに「client_id または client_secret が無い」。</t>
        </is>
      </c>
      <c r="E17" s="7" t="inlineStr">
        <is>
          <t>jmeter.bat を閉じて、-q 付きで開き直す。</t>
        </is>
      </c>
      <c r="F17" s="7" t="inlineStr"/>
      <c r="G17" s="7" t="inlineStr"/>
    </row>
    <row r="18" ht="32" customHeight="1">
      <c r="A18" s="8" t="inlineStr">
        <is>
          <t>連結</t>
        </is>
      </c>
      <c r="B18" s="8" t="inlineStr">
        <is>
          <t>id + ":" + secret</t>
        </is>
      </c>
      <c r="C18" s="8" t="inlineStr">
        <is>
          <t>コロン 1 つの文字列。画面には出さない。</t>
        </is>
      </c>
      <c r="D18" s="8" t="inlineStr">
        <is>
          <t>invalid_client。</t>
        </is>
      </c>
      <c r="E18" s="8" t="inlineStr">
        <is>
          <t>プロパティの値の前後に空白や引用符が無いか、ファイルを見る。</t>
        </is>
      </c>
      <c r="F18" s="8" t="inlineStr"/>
      <c r="G18" s="8" t="inlineStr"/>
    </row>
    <row r="19" ht="32" customHeight="1">
      <c r="A19" s="7" t="inlineStr">
        <is>
          <t>エンコード</t>
        </is>
      </c>
      <c r="B19" s="7" t="inlineStr">
        <is>
          <t>java.util.Base64.getEncoder()</t>
        </is>
      </c>
      <c r="C19" s="7" t="inlineStr">
        <is>
          <t>改行無しの標準 Base64。</t>
        </is>
      </c>
      <c r="D19" s="7" t="inlineStr">
        <is>
          <t>ヘッダの途中に改行があり、400 や invalid_client。</t>
        </is>
      </c>
      <c r="E19" s="7" t="inlineStr">
        <is>
          <t>encodeBase64() に書き換えていないか見る。</t>
        </is>
      </c>
      <c r="F19" s="7" t="inlineStr"/>
      <c r="G19" s="7" t="inlineStr"/>
    </row>
    <row r="20" ht="32" customHeight="1">
      <c r="A20" s="8" t="inlineStr">
        <is>
          <t>変数へ</t>
        </is>
      </c>
      <c r="B20" s="8" t="inlineStr">
        <is>
          <t>vars.put("basic_credentials", b64)</t>
        </is>
      </c>
      <c r="C20" s="8" t="inlineStr">
        <is>
          <t>この setUp スレッドの中だけで見える変数。</t>
        </is>
      </c>
      <c r="D20" s="8" t="inlineStr">
        <is>
          <t>ヘッダに ${basic_credentials} が残る。</t>
        </is>
      </c>
      <c r="E20" s="8" t="inlineStr">
        <is>
          <t>前処理がこの HTTP の子であること。Language が groovy であること。</t>
        </is>
      </c>
      <c r="F20" s="8" t="inlineStr"/>
      <c r="G20" s="8" t="inlineStr"/>
    </row>
    <row r="21" ht="32" customHeight="1">
      <c r="A21" s="7" t="inlineStr">
        <is>
          <t>ログ</t>
        </is>
      </c>
      <c r="B21" s="7" t="inlineStr">
        <is>
          <t>log.info で length だけ</t>
        </is>
      </c>
      <c r="C21" s="7" t="inlineStr">
        <is>
          <t>jmeter.log に文字数。</t>
        </is>
      </c>
      <c r="D21" s="7" t="inlineStr">
        <is>
          <t>ログに eyJ や秘密の原文がある。</t>
        </is>
      </c>
      <c r="E21" s="7" t="inlineStr">
        <is>
          <t>log.info の引数を、トークンや b64 そのものにしない。</t>
        </is>
      </c>
      <c r="F21" s="7" t="inlineStr"/>
      <c r="G21" s="7" t="inlineStr"/>
    </row>
    <row r="23" ht="22" customHeight="1">
      <c r="A23" s="14" t="inlineStr">
        <is>
          <t>IMG-48    画像差し込み枠    JSR223 PreProcessor の Language とスクリプト</t>
        </is>
      </c>
      <c r="B23" s="14" t="n"/>
      <c r="C23" s="14" t="n"/>
      <c r="D23" s="14" t="n"/>
      <c r="E23" s="14" t="n"/>
      <c r="F23" s="14" t="n"/>
      <c r="G23" s="14" t="n"/>
    </row>
    <row r="24" ht="148" customHeight="1">
      <c r="A2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保存前。公開例ではなく、現場のスクリプト全文が見える状態。
画角: Language が groovy。スクリプトに client_secret の実値が無い。log.info が length だけ。
文章は図の下に隠れてもよい。どの図かは 32_画像台帳 の IMG-48 を見る。</t>
        </is>
      </c>
      <c r="B24" s="15" t="n"/>
      <c r="C24" s="15" t="n"/>
      <c r="D24" s="15" t="n"/>
      <c r="E24" s="15" t="n"/>
      <c r="F24" s="15" t="n"/>
      <c r="G24" s="15" t="n"/>
    </row>
    <row r="25" ht="22" customHeight="1">
      <c r="A25" s="14" t="inlineStr">
        <is>
          <t>IMG-49    画像差し込み枠    HM_トークンの 2 行</t>
        </is>
      </c>
      <c r="B25" s="14" t="n"/>
      <c r="C25" s="14" t="n"/>
      <c r="D25" s="14" t="n"/>
      <c r="E25" s="14" t="n"/>
      <c r="F25" s="14" t="n"/>
      <c r="G25" s="14" t="n"/>
    </row>
    <row r="26" ht="148" customHeight="1">
      <c r="A2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ヘッダを入れた直後。実行前の画面。
画角: Content-Type が application/x-www-form-urlencoded。Authorization の値が Basic ${basic_credentials}。実値は無い。
文章は図の下に隠れてもよい。どの図かは 32_画像台帳 の IMG-49 を見る。</t>
        </is>
      </c>
      <c r="B26" s="15" t="n"/>
      <c r="C26" s="15" t="n"/>
      <c r="D26" s="15" t="n"/>
      <c r="E26" s="15" t="n"/>
      <c r="F26" s="15" t="n"/>
      <c r="G26" s="15" t="n"/>
    </row>
    <row r="27" ht="24" customHeight="1">
      <c r="A27" s="5" t="inlineStr">
        <is>
          <t>リクエスト本体との組み合わせ</t>
        </is>
      </c>
      <c r="B27" s="5" t="n"/>
      <c r="C27" s="5" t="n"/>
      <c r="D27" s="5" t="n"/>
      <c r="E27" s="5" t="n"/>
      <c r="F27" s="5" t="n"/>
      <c r="G27" s="5" t="n"/>
    </row>
    <row r="28" ht="44" customHeight="1">
      <c r="A28" s="25" t="inlineStr">
        <is>
          <t>ヘッダで Basic を送るとき、本体のパラメータは grant_type=client_credentials、client_id=${__P(client_id)}、必要なときだけ scope。client_secret は本体に書かない。公式は、ヘッダに秘密を載せた場合、本体の client_id は省略できる、とも書いている。この手順は公式のクライアント認証の例に合わせ、本体にも client_id を置く。ヘッダ側の client_id と、本体の client_id は、同じプロパティを使う。Content-Type は application/x-www-form-urlencoded。application/json のまま送ると、Cognito はパラメータを読めず、invalid_request か invalid_client になる。</t>
        </is>
      </c>
      <c r="B28" s="25" t="n"/>
      <c r="C28" s="25" t="n"/>
      <c r="D28" s="25" t="n"/>
      <c r="E28" s="25" t="n"/>
      <c r="F28" s="25" t="n"/>
      <c r="G28" s="25" t="n"/>
    </row>
    <row r="29" ht="24" customHeight="1">
      <c r="A29" s="5" t="inlineStr">
        <is>
          <t>失敗したときの応答</t>
        </is>
      </c>
      <c r="B29" s="5" t="n"/>
      <c r="C29" s="5" t="n"/>
      <c r="D29" s="5" t="n"/>
      <c r="E29" s="5" t="n"/>
      <c r="F29" s="5" t="n"/>
      <c r="G29" s="5" t="n"/>
    </row>
    <row r="30" ht="28" customHeight="1">
      <c r="A30" s="6" t="inlineStr">
        <is>
          <t>応答の error</t>
        </is>
      </c>
      <c r="B30" s="6" t="inlineStr">
        <is>
          <t>HTTP</t>
        </is>
      </c>
      <c r="C30" s="6" t="inlineStr">
        <is>
          <t>まず疑うこと</t>
        </is>
      </c>
      <c r="D30" s="6" t="inlineStr">
        <is>
          <t>見る場所</t>
        </is>
      </c>
      <c r="E30" s="6" t="inlineStr">
        <is>
          <t>次の動作</t>
        </is>
      </c>
      <c r="F30" s="6" t="inlineStr"/>
      <c r="G30" s="6" t="inlineStr"/>
    </row>
    <row r="31" ht="44" customHeight="1">
      <c r="A31" s="7" t="inlineStr">
        <is>
          <t>invalid_client</t>
        </is>
      </c>
      <c r="B31" s="7" t="inlineStr">
        <is>
          <t>400 または 401</t>
        </is>
      </c>
      <c r="C31" s="7" t="inlineStr">
        <is>
          <t>Base64 の材料が違う。client_id と secret の取り違え。空白。改行。アプリクライアントに秘密が無い。</t>
        </is>
      </c>
      <c r="D31" s="7" t="inlineStr">
        <is>
          <t>Request の Authorization が Basic で始まること。値はログに残さず、その場で長さだけ見る。</t>
        </is>
      </c>
      <c r="E31" s="7" t="inlineStr">
        <is>
          <t>secrets.properties を直し、JMeter を起動し直す。負荷は続けない。</t>
        </is>
      </c>
      <c r="F31" s="7" t="inlineStr"/>
      <c r="G31" s="7" t="inlineStr"/>
    </row>
    <row r="32" ht="44" customHeight="1">
      <c r="A32" s="8" t="inlineStr">
        <is>
          <t>invalid_request</t>
        </is>
      </c>
      <c r="B32" s="8" t="inlineStr">
        <is>
          <t>400</t>
        </is>
      </c>
      <c r="C32" s="8" t="inlineStr">
        <is>
          <t>grant_type が無い。Content-Type が form ではない。Body Data とパラメータを同時に使っている。</t>
        </is>
      </c>
      <c r="D32" s="8" t="inlineStr">
        <is>
          <t>パラメータ表と、Body Data が空であること。</t>
        </is>
      </c>
      <c r="E32" s="8" t="inlineStr">
        <is>
          <t>35 の手順 11 と 14。</t>
        </is>
      </c>
      <c r="F32" s="8" t="inlineStr"/>
      <c r="G32" s="8" t="inlineStr"/>
    </row>
    <row r="33" ht="44" customHeight="1">
      <c r="A33" s="7" t="inlineStr">
        <is>
          <t>invalid_scope</t>
        </is>
      </c>
      <c r="B33" s="7" t="inlineStr">
        <is>
          <t>400</t>
        </is>
      </c>
      <c r="C33" s="7" t="inlineStr">
        <is>
          <t>scope がそのアプリクライアントに許可されていない。リソースサーバの識別子が違う。</t>
        </is>
      </c>
      <c r="D33" s="7" t="inlineStr">
        <is>
          <t>load.properties の scope。</t>
        </is>
      </c>
      <c r="E33" s="7" t="inlineStr">
        <is>
          <t>許可された scope に直す。%2F を二重にエンコードしていないか見る。</t>
        </is>
      </c>
      <c r="F33" s="7" t="inlineStr"/>
      <c r="G33" s="7" t="inlineStr"/>
    </row>
    <row r="34" ht="32" customHeight="1">
      <c r="A34" s="8" t="inlineStr">
        <is>
          <t>unauthorized_client</t>
        </is>
      </c>
      <c r="B34" s="8" t="inlineStr">
        <is>
          <t>400</t>
        </is>
      </c>
      <c r="C34" s="8" t="inlineStr">
        <is>
          <t>そのアプリクライアントで client_credentials が有効ではない。</t>
        </is>
      </c>
      <c r="D34" s="8" t="inlineStr">
        <is>
          <t>ユーザープール側の設定。JMeter の式では直らない。</t>
        </is>
      </c>
      <c r="E34" s="8" t="inlineStr">
        <is>
          <t>設定の担当に確認する。JMeter の人数は増やさない。</t>
        </is>
      </c>
      <c r="F34" s="8" t="inlineStr"/>
      <c r="G34" s="8" t="inlineStr"/>
    </row>
    <row r="36" ht="28" customHeight="1">
      <c r="A36" s="18" t="inlineStr">
        <is>
          <t xml:space="preserve">参照: Amazon Cognito の token endpoint。client_secret_basic の説明と、クライアント認証のリクエスト例。 https://docs.aws.amazon.com/cognito/latest/developerguide/token-endpoint.html </t>
        </is>
      </c>
      <c r="B36" s="18" t="n"/>
      <c r="C36" s="18" t="n"/>
      <c r="D36" s="18" t="n"/>
      <c r="E36" s="18" t="n"/>
      <c r="F36" s="18" t="n"/>
      <c r="G36" s="18" t="n"/>
    </row>
  </sheetData>
  <mergeCells count="18">
    <mergeCell ref="A13:G13"/>
    <mergeCell ref="A14:G14"/>
    <mergeCell ref="A36:G36"/>
    <mergeCell ref="A1:G1"/>
    <mergeCell ref="A27:G27"/>
    <mergeCell ref="A3:G3"/>
    <mergeCell ref="A6:G6"/>
    <mergeCell ref="A28:G28"/>
    <mergeCell ref="A4:G4"/>
    <mergeCell ref="A26:G26"/>
    <mergeCell ref="A24:G24"/>
    <mergeCell ref="A2:G2"/>
    <mergeCell ref="A15:G15"/>
    <mergeCell ref="A7:G7"/>
    <mergeCell ref="A25:G25"/>
    <mergeCell ref="A29:G29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36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保持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access_token を、業務スレッドから見える場所へ置く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JSON Extractor の変数は、そのスレッドの中だけ。setUp で取った値を、業務スレッドへ渡すにはプロパティにコピーする。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変数とプロパティ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6" t="inlineStr">
        <is>
          <t>種類</t>
        </is>
      </c>
      <c r="B7" s="6" t="inlineStr">
        <is>
          <t>作り方</t>
        </is>
      </c>
      <c r="C7" s="6" t="inlineStr">
        <is>
          <t>参照の書き方</t>
        </is>
      </c>
      <c r="D7" s="6" t="inlineStr">
        <is>
          <t>見える範囲</t>
        </is>
      </c>
      <c r="E7" s="6" t="inlineStr">
        <is>
          <t>この手順での使い方</t>
        </is>
      </c>
      <c r="F7" s="6" t="inlineStr"/>
      <c r="G7" s="6" t="inlineStr"/>
    </row>
    <row r="8" ht="32" customHeight="1">
      <c r="A8" s="7" t="inlineStr">
        <is>
          <t>変数</t>
        </is>
      </c>
      <c r="B8" s="7" t="inlineStr">
        <is>
          <t>JSON Extractor の vars、または vars.put</t>
        </is>
      </c>
      <c r="C8" s="7" t="inlineStr">
        <is>
          <t>${access_token}</t>
        </is>
      </c>
      <c r="D8" s="7" t="inlineStr">
        <is>
          <t>そのスレッドだけ。他のスレッドと setUp の外からは空。</t>
        </is>
      </c>
      <c r="E8" s="7" t="inlineStr">
        <is>
          <t>setUp の中で、抽出結果を受け取る。</t>
        </is>
      </c>
      <c r="F8" s="7" t="inlineStr"/>
      <c r="G8" s="7" t="inlineStr"/>
    </row>
    <row r="9" ht="22" customHeight="1">
      <c r="A9" s="8" t="inlineStr">
        <is>
          <t>プロパティ</t>
        </is>
      </c>
      <c r="B9" s="8" t="inlineStr">
        <is>
          <t>props.put、または -J と -q</t>
        </is>
      </c>
      <c r="C9" s="8" t="inlineStr">
        <is>
          <t>${__P(access_token)}</t>
        </is>
      </c>
      <c r="D9" s="8" t="inlineStr">
        <is>
          <t>試験の中の全部のスレッド。</t>
        </is>
      </c>
      <c r="E9" s="8" t="inlineStr">
        <is>
          <t>業務リクエストの Bearer。</t>
        </is>
      </c>
      <c r="F9" s="8" t="inlineStr"/>
      <c r="G9" s="8" t="inlineStr"/>
    </row>
    <row r="10" ht="32" customHeight="1">
      <c r="A10" s="7" t="inlineStr">
        <is>
          <t>取り違え</t>
        </is>
      </c>
      <c r="B10" s="7" t="inlineStr">
        <is>
          <t>業務側に ${access_token} と書く</t>
        </is>
      </c>
      <c r="C10" s="7" t="inlineStr">
        <is>
          <t>文字が置換されず、そのまま送られることがある。</t>
        </is>
      </c>
      <c r="D10" s="7" t="inlineStr">
        <is>
          <t>setUp の変数は業務側に無い。</t>
        </is>
      </c>
      <c r="E10" s="7" t="inlineStr">
        <is>
          <t>業務側は必ず ${__P(access_token)}。</t>
        </is>
      </c>
      <c r="F10" s="7" t="inlineStr"/>
      <c r="G10" s="7" t="inlineStr"/>
    </row>
    <row r="12" ht="24" customHeight="1">
      <c r="A12" s="5" t="inlineStr">
        <is>
          <t>JSON Extractor の欄</t>
        </is>
      </c>
      <c r="B12" s="5" t="n"/>
      <c r="C12" s="5" t="n"/>
      <c r="D12" s="5" t="n"/>
      <c r="E12" s="5" t="n"/>
      <c r="F12" s="5" t="n"/>
      <c r="G12" s="5" t="n"/>
    </row>
    <row r="13" ht="32" customHeight="1">
      <c r="A13" s="25" t="inlineStr">
        <is>
          <t>子として HTTP_POST_cognito_token に付ける。公式の名前は JSON Extractor / JSON PostProcessor。メニューが英語のままなら英語で探す。応答の形は { "access_token": "...", "token_type": "Bearer", "expires_in": 3600 }。パスは $.access_token と $.expires_in。セミコロンの数を、4 つの欄で揃える。</t>
        </is>
      </c>
      <c r="B13" s="25" t="n"/>
      <c r="C13" s="25" t="n"/>
      <c r="D13" s="25" t="n"/>
      <c r="E13" s="25" t="n"/>
      <c r="F13" s="25" t="n"/>
      <c r="G13" s="25" t="n"/>
    </row>
    <row r="14" ht="28" customHeight="1">
      <c r="A14" s="6" t="inlineStr">
        <is>
          <t>欄（画面の英語）</t>
        </is>
      </c>
      <c r="B14" s="6" t="inlineStr">
        <is>
          <t>入れる値</t>
        </is>
      </c>
      <c r="C14" s="6" t="inlineStr">
        <is>
          <t>意味</t>
        </is>
      </c>
      <c r="D14" s="6" t="inlineStr">
        <is>
          <t>空や 0 にすると</t>
        </is>
      </c>
      <c r="E14" s="6" t="inlineStr"/>
      <c r="F14" s="6" t="inlineStr"/>
      <c r="G14" s="6" t="inlineStr"/>
    </row>
    <row r="15" ht="32" customHeight="1">
      <c r="A15" s="7" t="inlineStr">
        <is>
          <t>Apply to</t>
        </is>
      </c>
      <c r="B15" s="7" t="inlineStr">
        <is>
          <t>Main sample only</t>
        </is>
      </c>
      <c r="C15" s="7" t="inlineStr">
        <is>
          <t>このリクエストの本体だけを見る。</t>
        </is>
      </c>
      <c r="D15" s="7" t="inlineStr">
        <is>
          <t>サブサンプルを選ぶと、別の応答から抜こうとする。</t>
        </is>
      </c>
      <c r="E15" s="7" t="inlineStr"/>
      <c r="F15" s="7" t="inlineStr"/>
      <c r="G15" s="7" t="inlineStr"/>
    </row>
    <row r="16" ht="32" customHeight="1">
      <c r="A16" s="8" t="inlineStr">
        <is>
          <t>Names of created variables</t>
        </is>
      </c>
      <c r="B16" s="8" t="inlineStr">
        <is>
          <t>access_token;expires_in</t>
        </is>
      </c>
      <c r="C16" s="8" t="inlineStr">
        <is>
          <t>できる変数名。セミコロン区切り。</t>
        </is>
      </c>
      <c r="D16" s="8" t="inlineStr">
        <is>
          <t>名前が 1 つだと、2 つ目のパスの結果を捨てる。</t>
        </is>
      </c>
      <c r="E16" s="8" t="inlineStr"/>
      <c r="F16" s="8" t="inlineStr"/>
      <c r="G16" s="8" t="inlineStr"/>
    </row>
    <row r="17" ht="32" customHeight="1">
      <c r="A17" s="7" t="inlineStr">
        <is>
          <t>JSON Path expressions</t>
        </is>
      </c>
      <c r="B17" s="7" t="inlineStr">
        <is>
          <t>$.access_token;$.expires_in</t>
        </is>
      </c>
      <c r="C17" s="7" t="inlineStr">
        <is>
          <t>ルートのプロパティ。ドットの前に $。</t>
        </is>
      </c>
      <c r="D17" s="7" t="inlineStr">
        <is>
          <t>access_token とだけ書くと、パスとして解釈されない。</t>
        </is>
      </c>
      <c r="E17" s="7" t="inlineStr"/>
      <c r="F17" s="7" t="inlineStr"/>
      <c r="G17" s="7" t="inlineStr"/>
    </row>
    <row r="18" ht="32" customHeight="1">
      <c r="A18" s="8" t="inlineStr">
        <is>
          <t>Match No.</t>
        </is>
      </c>
      <c r="B18" s="8" t="inlineStr">
        <is>
          <t>1;1</t>
        </is>
      </c>
      <c r="C18" s="8" t="inlineStr">
        <is>
          <t>複数ヒットしたときの何件目か。1 は最初。</t>
        </is>
      </c>
      <c r="D18" s="8" t="inlineStr">
        <is>
          <t>空欄は 0。0 はランダム。トークンには使わない。</t>
        </is>
      </c>
      <c r="E18" s="8" t="inlineStr"/>
      <c r="F18" s="8" t="inlineStr"/>
      <c r="G18" s="8" t="inlineStr"/>
    </row>
    <row r="19" ht="32" customHeight="1">
      <c r="A19" s="7" t="inlineStr">
        <is>
          <t>Default Values</t>
        </is>
      </c>
      <c r="B19" s="7" t="inlineStr">
        <is>
          <t>TOKEN_NOT_FOUND;EXPIRES_NOT_FOUND</t>
        </is>
      </c>
      <c r="C19" s="7" t="inlineStr">
        <is>
          <t>ヒットしないときの値。</t>
        </is>
      </c>
      <c r="D19" s="7" t="inlineStr">
        <is>
          <t>空だと、失敗と未処理の区別が付かない。</t>
        </is>
      </c>
      <c r="E19" s="7" t="inlineStr"/>
      <c r="F19" s="7" t="inlineStr"/>
      <c r="G19" s="7" t="inlineStr"/>
    </row>
    <row r="20" ht="32" customHeight="1">
      <c r="A20" s="8" t="inlineStr">
        <is>
          <t>Compute concatenation var</t>
        </is>
      </c>
      <c r="B20" s="8" t="inlineStr">
        <is>
          <t>オフ</t>
        </is>
      </c>
      <c r="C20" s="8" t="inlineStr">
        <is>
          <t>全部をカンマでつなぐ変数は、今回は不要。</t>
        </is>
      </c>
      <c r="D20" s="8" t="inlineStr">
        <is>
          <t>オンでも動くが、見る変数が増える。</t>
        </is>
      </c>
      <c r="E20" s="8" t="inlineStr"/>
      <c r="F20" s="8" t="inlineStr"/>
      <c r="G20" s="8" t="inlineStr"/>
    </row>
    <row r="22" ht="22" customHeight="1">
      <c r="A22" s="14" t="inlineStr">
        <is>
          <t>IMG-50    画像差し込み枠    JSON Extractor の欄</t>
        </is>
      </c>
      <c r="B22" s="14" t="n"/>
      <c r="C22" s="14" t="n"/>
      <c r="D22" s="14" t="n"/>
      <c r="E22" s="14" t="n"/>
      <c r="F22" s="14" t="n"/>
      <c r="G22" s="14" t="n"/>
    </row>
    <row r="23" ht="148" customHeight="1">
      <c r="A23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4 つの欄を入れたあと。
画角: 変数名、JSON Path、Match No. が 1;1、Default に TOKEN_NOT_FOUND が見える。実トークンは写さない。
文章は図の下に隠れてもよい。どの図かは 32_画像台帳 の IMG-50 を見る。</t>
        </is>
      </c>
      <c r="B23" s="15" t="n"/>
      <c r="C23" s="15" t="n"/>
      <c r="D23" s="15" t="n"/>
      <c r="E23" s="15" t="n"/>
      <c r="F23" s="15" t="n"/>
      <c r="G23" s="15" t="n"/>
    </row>
    <row r="24" ht="24" customHeight="1">
      <c r="A24" s="5" t="inlineStr">
        <is>
          <t>プロパティへコピーする</t>
        </is>
      </c>
      <c r="B24" s="5" t="n"/>
      <c r="C24" s="5" t="n"/>
      <c r="D24" s="5" t="n"/>
      <c r="E24" s="5" t="n"/>
      <c r="F24" s="5" t="n"/>
      <c r="G24" s="5" t="n"/>
    </row>
    <row r="25" ht="32" customHeight="1">
      <c r="A25" s="25" t="inlineStr">
        <is>
          <t>JSR223 PostProcessor は、JSON Extractor より下に置く。後処理はツリーの上から順に走る。setUp スレッドグループは、通常のスレッドグループより前に終わる。コピーが終わってから TG_業務 が始まるので、業務の 1 件目の時点で ${__P(access_token)} は既にある。</t>
        </is>
      </c>
      <c r="B25" s="25" t="n"/>
      <c r="C25" s="25" t="n"/>
      <c r="D25" s="25" t="n"/>
      <c r="E25" s="25" t="n"/>
      <c r="F25" s="25" t="n"/>
      <c r="G25" s="25" t="n"/>
    </row>
    <row r="26" ht="159" customHeight="1">
      <c r="A26" s="7" t="inlineStr">
        <is>
          <t>// 名前: PP_トークンを全体へ
// Language: groovy
// この要素は JSON Extractor より下に置く。上にあると、まだ変数が無い。
String token = vars.get("access_token")
if (token == null || "TOKEN_NOT_FOUND".equals(token) || token.trim().isEmpty()) {
    throw new IllegalStateException("access_token が取れていない。応答と JSON Path を見る。")
}
props.put("access_token", token)
String expires = vars.get("expires_in")
log.info("access_token length=" + token.length() + " expires_in=" + expires)</t>
        </is>
      </c>
      <c r="B26" s="7" t="n"/>
      <c r="C26" s="7" t="n"/>
      <c r="D26" s="7" t="n"/>
      <c r="E26" s="7" t="n"/>
      <c r="F26" s="7" t="n"/>
      <c r="G26" s="7" t="n"/>
    </row>
    <row r="27" ht="22" customHeight="1">
      <c r="A27" s="14" t="inlineStr">
        <is>
          <t>IMG-51    画像差し込み枠    PostProcessor が JSON Extractor の下にあるツリー</t>
        </is>
      </c>
      <c r="B27" s="14" t="n"/>
      <c r="C27" s="14" t="n"/>
      <c r="D27" s="14" t="n"/>
      <c r="E27" s="14" t="n"/>
      <c r="F27" s="14" t="n"/>
      <c r="G27" s="14" t="n"/>
    </row>
    <row r="28" ht="148" customHeight="1">
      <c r="A28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並びを直したあと。
画角: 上から PreProcessor、ヘッダ、JSON Extractor、PostProcessor、応答アサーション。スクリプトの実トークンは写さない。
文章は図の下に隠れてもよい。どの図かは 32_画像台帳 の IMG-51 を見る。</t>
        </is>
      </c>
      <c r="B28" s="15" t="n"/>
      <c r="C28" s="15" t="n"/>
      <c r="D28" s="15" t="n"/>
      <c r="E28" s="15" t="n"/>
      <c r="F28" s="15" t="n"/>
      <c r="G28" s="15" t="n"/>
    </row>
    <row r="29" ht="24" customHeight="1">
      <c r="A29" s="5" t="inlineStr">
        <is>
          <t>業務側での使い方と、期限</t>
        </is>
      </c>
      <c r="B29" s="5" t="n"/>
      <c r="C29" s="5" t="n"/>
      <c r="D29" s="5" t="n"/>
      <c r="E29" s="5" t="n"/>
      <c r="F29" s="5" t="n"/>
      <c r="G29" s="5" t="n"/>
    </row>
    <row r="30" ht="44" customHeight="1">
      <c r="A30" s="25" t="inlineStr">
        <is>
          <t>HM_API の Authorization の値は Bearer ${__P(access_token)}。Bearer と値のあいだは半角空白 1 つ。expires_in は秒。Cognito の例では 3600。アプリクライアントの設定で変わるので、1 人実行の応答を正にする。run-api.sh の -Jduration は、この秒より小さくする。超えると、期限のあとの業務リクエストが 401 になる。超える試験は、この手順では組まない。途中で取り直すループは入れない。</t>
        </is>
      </c>
      <c r="B30" s="25" t="n"/>
      <c r="C30" s="25" t="n"/>
      <c r="D30" s="25" t="n"/>
      <c r="E30" s="25" t="n"/>
      <c r="F30" s="25" t="n"/>
      <c r="G30" s="25" t="n"/>
    </row>
    <row r="31" ht="28" customHeight="1">
      <c r="A31" s="6" t="inlineStr">
        <is>
          <t>業務の応答</t>
        </is>
      </c>
      <c r="B31" s="6" t="inlineStr">
        <is>
          <t>意味の候補</t>
        </is>
      </c>
      <c r="C31" s="6" t="inlineStr">
        <is>
          <t>見るもの</t>
        </is>
      </c>
      <c r="D31" s="6" t="inlineStr">
        <is>
          <t>直し方</t>
        </is>
      </c>
      <c r="E31" s="6" t="inlineStr"/>
      <c r="F31" s="6" t="inlineStr"/>
      <c r="G31" s="6" t="inlineStr"/>
    </row>
    <row r="32" ht="32" customHeight="1">
      <c r="A32" s="7" t="inlineStr">
        <is>
          <t>200</t>
        </is>
      </c>
      <c r="B32" s="7" t="inlineStr">
        <is>
          <t>トークンは受理された。</t>
        </is>
      </c>
      <c r="C32" s="7" t="inlineStr">
        <is>
          <t>統計は 23 へ進む。</t>
        </is>
      </c>
      <c r="D32" s="7" t="inlineStr">
        <is>
          <t>ここをトークンの不具合として調べ続けない。</t>
        </is>
      </c>
      <c r="E32" s="7" t="inlineStr"/>
      <c r="F32" s="7" t="inlineStr"/>
      <c r="G32" s="7" t="inlineStr"/>
    </row>
    <row r="33" ht="44" customHeight="1">
      <c r="A33" s="8" t="inlineStr">
        <is>
          <t>401</t>
        </is>
      </c>
      <c r="B33" s="8" t="inlineStr">
        <is>
          <t>Bearer が無い、期限切れ、scope が API の認可と違う、トークンの種類が違う。</t>
        </is>
      </c>
      <c r="C33" s="8" t="inlineStr">
        <is>
          <t>Request に Bearer があるか。expires_in と経過秒。</t>
        </is>
      </c>
      <c r="D33" s="8" t="inlineStr">
        <is>
          <t>${__P(access_token)} になっているか。duration を短くする。scope を合意と揃える。</t>
        </is>
      </c>
      <c r="E33" s="8" t="inlineStr"/>
      <c r="F33" s="8" t="inlineStr"/>
      <c r="G33" s="8" t="inlineStr"/>
    </row>
    <row r="34" ht="32" customHeight="1">
      <c r="A34" s="7" t="inlineStr">
        <is>
          <t>403</t>
        </is>
      </c>
      <c r="B34" s="7" t="inlineStr">
        <is>
          <t>トークンは乗っていても、API キー側で拒否されていることが多い。</t>
        </is>
      </c>
      <c r="C34" s="7" t="inlineStr">
        <is>
          <t>ヘッダ名と 39。</t>
        </is>
      </c>
      <c r="D34" s="7" t="inlineStr">
        <is>
          <t>トークンの Path を疑う前に、ヘッダ名と利用プランを見る。</t>
        </is>
      </c>
      <c r="E34" s="7" t="inlineStr"/>
      <c r="F34" s="7" t="inlineStr"/>
      <c r="G34" s="7" t="inlineStr"/>
    </row>
    <row r="36" ht="32" customHeight="1">
      <c r="A36" s="18" t="inlineStr">
        <is>
          <t>デバッグサンプラーで JMeter Properties を表示すると、client_secret と api_key と access_token が結果ツリーに出る。この手順ではデバッグサンプラーを足さない。確認は、業務リクエストの Request タブで、式が残っていないことだけを見る。</t>
        </is>
      </c>
      <c r="B36" s="18" t="n"/>
      <c r="C36" s="18" t="n"/>
      <c r="D36" s="18" t="n"/>
      <c r="E36" s="18" t="n"/>
      <c r="F36" s="18" t="n"/>
      <c r="G36" s="18" t="n"/>
    </row>
  </sheetData>
  <mergeCells count="18">
    <mergeCell ref="A13:G13"/>
    <mergeCell ref="A36:G36"/>
    <mergeCell ref="A1:G1"/>
    <mergeCell ref="A27:G27"/>
    <mergeCell ref="A3:G3"/>
    <mergeCell ref="A6:G6"/>
    <mergeCell ref="A22:G22"/>
    <mergeCell ref="A28:G28"/>
    <mergeCell ref="A12:G12"/>
    <mergeCell ref="A4:G4"/>
    <mergeCell ref="A26:G26"/>
    <mergeCell ref="A24:G24"/>
    <mergeCell ref="A2:G2"/>
    <mergeCell ref="A30:G30"/>
    <mergeCell ref="A29:G29"/>
    <mergeCell ref="A25:G25"/>
    <mergeCell ref="A5:G5"/>
    <mergeCell ref="A23:G23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54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抽出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正規表現抽出の欄を、1 つずつ使う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Cognito の本番の抽出は 37 の JSON Extractor。正規表現は、JSON 以外の応答と、抽出式の確認に使う。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32" customHeight="1">
      <c r="A6" s="25" t="inlineStr">
        <is>
          <t>要素の名前は「正規表現抽出」（Regular Expression Extractor）。HTTP リクエストを右クリックし、追加 → 後処理。公式は、式をスラッシュで囲まない、と書いている。/"access_token"/ のようには書かない。JMeter のこの要素は Perl 5 系の正規表現。Java の文字列の例にある \\s を、そのまま欄へ二重には書かない。欄には \s と 1 つ書く。</t>
        </is>
      </c>
      <c r="B6" s="25" t="n"/>
      <c r="C6" s="25" t="n"/>
      <c r="D6" s="25" t="n"/>
      <c r="E6" s="25" t="n"/>
      <c r="F6" s="25" t="n"/>
      <c r="G6" s="25" t="n"/>
    </row>
    <row r="7" ht="24" customHeight="1">
      <c r="A7" s="5" t="inlineStr">
        <is>
          <t>欄</t>
        </is>
      </c>
      <c r="B7" s="5" t="n"/>
      <c r="C7" s="5" t="n"/>
      <c r="D7" s="5" t="n"/>
      <c r="E7" s="5" t="n"/>
      <c r="F7" s="5" t="n"/>
      <c r="G7" s="5" t="n"/>
    </row>
    <row r="8" ht="28" customHeight="1">
      <c r="A8" s="6" t="inlineStr">
        <is>
          <t>欄</t>
        </is>
      </c>
      <c r="B8" s="6" t="inlineStr">
        <is>
          <t>英語</t>
        </is>
      </c>
      <c r="C8" s="6" t="inlineStr">
        <is>
          <t>トークンの練習で入れる値</t>
        </is>
      </c>
      <c r="D8" s="6" t="inlineStr">
        <is>
          <t>意味</t>
        </is>
      </c>
      <c r="E8" s="6" t="inlineStr">
        <is>
          <t>間違えやすい値</t>
        </is>
      </c>
      <c r="F8" s="6" t="inlineStr"/>
      <c r="G8" s="6" t="inlineStr"/>
    </row>
    <row r="9" ht="32" customHeight="1">
      <c r="A9" s="7" t="inlineStr">
        <is>
          <t>適用先</t>
        </is>
      </c>
      <c r="B9" s="7" t="inlineStr">
        <is>
          <t>Apply to</t>
        </is>
      </c>
      <c r="C9" s="7" t="inlineStr">
        <is>
          <t>Main sample only</t>
        </is>
      </c>
      <c r="D9" s="7" t="inlineStr">
        <is>
          <t>この応答の本体に式を当てる。</t>
        </is>
      </c>
      <c r="E9" s="7" t="inlineStr">
        <is>
          <t>Sub-samples only。埋め込みリソースを見にいく。</t>
        </is>
      </c>
      <c r="F9" s="7" t="inlineStr"/>
      <c r="G9" s="7" t="inlineStr"/>
    </row>
    <row r="10" ht="32" customHeight="1">
      <c r="A10" s="8" t="inlineStr">
        <is>
          <t>確認するフィールド</t>
        </is>
      </c>
      <c r="B10" s="8" t="inlineStr">
        <is>
          <t>Field to check</t>
        </is>
      </c>
      <c r="C10" s="8" t="inlineStr">
        <is>
          <t>Body</t>
        </is>
      </c>
      <c r="D10" s="8" t="inlineStr">
        <is>
          <t>応答本文。</t>
        </is>
      </c>
      <c r="E10" s="8" t="inlineStr">
        <is>
          <t>Response Headers。本文のトークンはヒットしない。</t>
        </is>
      </c>
      <c r="F10" s="8" t="inlineStr"/>
      <c r="G10" s="8" t="inlineStr"/>
    </row>
    <row r="11" ht="44" customHeight="1">
      <c r="A11" s="7" t="inlineStr">
        <is>
          <t>参照名</t>
        </is>
      </c>
      <c r="B11" s="7" t="inlineStr">
        <is>
          <t>Name of created variable</t>
        </is>
      </c>
      <c r="C11" s="7" t="inlineStr">
        <is>
          <t>access_token_re</t>
        </is>
      </c>
      <c r="D11" s="7" t="inlineStr">
        <is>
          <t>${access_token_re} になる。練習なので、JSON 側の access_token とは別名。</t>
        </is>
      </c>
      <c r="E11" s="7" t="inlineStr">
        <is>
          <t>本番と同じ access_token。下に置くと、JSON の結果を上書きする。</t>
        </is>
      </c>
      <c r="F11" s="7" t="inlineStr"/>
      <c r="G11" s="7" t="inlineStr"/>
    </row>
    <row r="12" ht="32" customHeight="1">
      <c r="A12" s="8" t="inlineStr">
        <is>
          <t>正規表現</t>
        </is>
      </c>
      <c r="B12" s="8" t="inlineStr">
        <is>
          <t>Regular Expression</t>
        </is>
      </c>
      <c r="C12" s="8" t="inlineStr">
        <is>
          <t>"access_token"\s*:\s*"([^"]+)"</t>
        </is>
      </c>
      <c r="D12" s="8" t="inlineStr">
        <is>
          <t>引用符の中を、グループ 1 として取る。</t>
        </is>
      </c>
      <c r="E12" s="8" t="inlineStr">
        <is>
          <t>.*access_token.* のように、次の項目まで飲み込む式。</t>
        </is>
      </c>
      <c r="F12" s="8" t="inlineStr"/>
      <c r="G12" s="8" t="inlineStr"/>
    </row>
    <row r="13" ht="32" customHeight="1">
      <c r="A13" s="7" t="inlineStr">
        <is>
          <t>テンプレート</t>
        </is>
      </c>
      <c r="B13" s="7" t="inlineStr">
        <is>
          <t>Template</t>
        </is>
      </c>
      <c r="C13" s="7" t="inlineStr">
        <is>
          <t>$1$</t>
        </is>
      </c>
      <c r="D13" s="7" t="inlineStr">
        <is>
          <t>グループ 1 だけを変数に入れる。</t>
        </is>
      </c>
      <c r="E13" s="7" t="inlineStr">
        <is>
          <t>${1} や \1。$0$ はキー名ごと全部になる。</t>
        </is>
      </c>
      <c r="F13" s="7" t="inlineStr"/>
      <c r="G13" s="7" t="inlineStr"/>
    </row>
    <row r="14" ht="32" customHeight="1">
      <c r="A14" s="8" t="inlineStr">
        <is>
          <t>一致番号</t>
        </is>
      </c>
      <c r="B14" s="8" t="inlineStr">
        <is>
          <t>Match No.</t>
        </is>
      </c>
      <c r="C14" s="8" t="inlineStr">
        <is>
          <t>1</t>
        </is>
      </c>
      <c r="D14" s="8" t="inlineStr">
        <is>
          <t>最初の一致。</t>
        </is>
      </c>
      <c r="E14" s="8" t="inlineStr">
        <is>
          <t>0 はランダム。-1 は全件で、本体の変数は初期値のまま。</t>
        </is>
      </c>
      <c r="F14" s="8" t="inlineStr"/>
      <c r="G14" s="8" t="inlineStr"/>
    </row>
    <row r="15" ht="22" customHeight="1">
      <c r="A15" s="7" t="inlineStr">
        <is>
          <t>初期値</t>
        </is>
      </c>
      <c r="B15" s="7" t="inlineStr">
        <is>
          <t>Default Value</t>
        </is>
      </c>
      <c r="C15" s="7" t="inlineStr">
        <is>
          <t>TOKEN_NOT_FOUND</t>
        </is>
      </c>
      <c r="D15" s="7" t="inlineStr">
        <is>
          <t>不一致のときの値。</t>
        </is>
      </c>
      <c r="E15" s="7" t="inlineStr">
        <is>
          <t>空欄。失敗に気づけない。</t>
        </is>
      </c>
      <c r="F15" s="7" t="inlineStr"/>
      <c r="G15" s="7" t="inlineStr"/>
    </row>
    <row r="17" ht="44" customHeight="1">
      <c r="A17" s="33" t="inlineStr">
        <is>
          <t>上の正規表現を、抽出の欄へタイプするときの文字は次のとおり。バックスラッシュは 1 つ。
"access_token"\s*:\s*"([^"]+)"
テンプレートの欄へタイプする文字は $1$</t>
        </is>
      </c>
      <c r="B17" s="33" t="n"/>
      <c r="C17" s="33" t="n"/>
      <c r="D17" s="33" t="n"/>
      <c r="E17" s="33" t="n"/>
      <c r="F17" s="33" t="n"/>
      <c r="G17" s="33" t="n"/>
    </row>
    <row r="18" ht="24" customHeight="1">
      <c r="A18" s="5" t="inlineStr">
        <is>
          <t>式の読み方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6" t="inlineStr">
        <is>
          <t>部分</t>
        </is>
      </c>
      <c r="B19" s="6" t="inlineStr">
        <is>
          <t>名前</t>
        </is>
      </c>
      <c r="C19" s="6" t="inlineStr">
        <is>
          <t>動作</t>
        </is>
      </c>
      <c r="D19" s="6" t="inlineStr">
        <is>
          <t>トークンの式での役割</t>
        </is>
      </c>
      <c r="E19" s="6" t="inlineStr"/>
      <c r="F19" s="6" t="inlineStr"/>
      <c r="G19" s="6" t="inlineStr"/>
    </row>
    <row r="20" ht="22" customHeight="1">
      <c r="A20" s="7" t="inlineStr">
        <is>
          <t>"</t>
        </is>
      </c>
      <c r="B20" s="7" t="inlineStr">
        <is>
          <t>そのままの引用符</t>
        </is>
      </c>
      <c r="C20" s="7" t="inlineStr">
        <is>
          <t>その文字がある位置に一致する。</t>
        </is>
      </c>
      <c r="D20" s="7" t="inlineStr">
        <is>
          <t>JSON のキーと値を囲む引用符。</t>
        </is>
      </c>
      <c r="E20" s="7" t="inlineStr"/>
      <c r="F20" s="7" t="inlineStr"/>
      <c r="G20" s="7" t="inlineStr"/>
    </row>
    <row r="21" ht="32" customHeight="1">
      <c r="A21" s="8" t="inlineStr">
        <is>
          <t>\s*</t>
        </is>
      </c>
      <c r="B21" s="8" t="inlineStr">
        <is>
          <t>空白が 0 回以上</t>
        </is>
      </c>
      <c r="C21" s="8" t="inlineStr">
        <is>
          <t>スペースやタブが無くても、あっても一致する。</t>
        </is>
      </c>
      <c r="D21" s="8" t="inlineStr">
        <is>
          <t>コロンの前後の空白差を吸収する。</t>
        </is>
      </c>
      <c r="E21" s="8" t="inlineStr"/>
      <c r="F21" s="8" t="inlineStr"/>
      <c r="G21" s="8" t="inlineStr"/>
    </row>
    <row r="22" ht="22" customHeight="1">
      <c r="A22" s="7" t="inlineStr">
        <is>
          <t>:</t>
        </is>
      </c>
      <c r="B22" s="7" t="inlineStr">
        <is>
          <t>そのままのコロン</t>
        </is>
      </c>
      <c r="C22" s="7" t="inlineStr">
        <is>
          <t>コロン 1 つ。</t>
        </is>
      </c>
      <c r="D22" s="7" t="inlineStr">
        <is>
          <t>キーと値の区切り。</t>
        </is>
      </c>
      <c r="E22" s="7" t="inlineStr"/>
      <c r="F22" s="7" t="inlineStr"/>
      <c r="G22" s="7" t="inlineStr"/>
    </row>
    <row r="23" ht="32" customHeight="1">
      <c r="A23" s="8" t="inlineStr">
        <is>
          <t>([^"]+)</t>
        </is>
      </c>
      <c r="B23" s="8" t="inlineStr">
        <is>
          <t>グループ。引用符以外が 1 文字以上</t>
        </is>
      </c>
      <c r="C23" s="8" t="inlineStr">
        <is>
          <t>次の引用符の手前で止まる。+ は 1 文字以上なので、空は採用しない。</t>
        </is>
      </c>
      <c r="D23" s="8" t="inlineStr">
        <is>
          <t>トークン本体。テンプレート $1$ が受け取る。</t>
        </is>
      </c>
      <c r="E23" s="8" t="inlineStr"/>
      <c r="F23" s="8" t="inlineStr"/>
      <c r="G23" s="8" t="inlineStr"/>
    </row>
    <row r="24" ht="32" customHeight="1">
      <c r="A24" s="7" t="inlineStr">
        <is>
          <t>$1$</t>
        </is>
      </c>
      <c r="B24" s="7" t="inlineStr">
        <is>
          <t>テンプレート</t>
        </is>
      </c>
      <c r="C24" s="7" t="inlineStr">
        <is>
          <t>グループ 1 を格納する、という指示。正規表現の一部ではない。</t>
        </is>
      </c>
      <c r="D24" s="7" t="inlineStr">
        <is>
          <t>変数の中身をトークンだけにする。</t>
        </is>
      </c>
      <c r="E24" s="7" t="inlineStr"/>
      <c r="F24" s="7" t="inlineStr"/>
      <c r="G24" s="7" t="inlineStr"/>
    </row>
    <row r="25" ht="32" customHeight="1">
      <c r="A25" s="8" t="inlineStr">
        <is>
          <t>$0$</t>
        </is>
      </c>
      <c r="B25" s="8" t="inlineStr">
        <is>
          <t>全体</t>
        </is>
      </c>
      <c r="C25" s="8" t="inlineStr">
        <is>
          <t>式に一致した全部。</t>
        </is>
      </c>
      <c r="D25" s="8" t="inlineStr">
        <is>
          <t>今回は使わない。使うと access_token というキー名も値に入る。</t>
        </is>
      </c>
      <c r="E25" s="8" t="inlineStr"/>
      <c r="F25" s="8" t="inlineStr"/>
      <c r="G25" s="8" t="inlineStr"/>
    </row>
    <row r="27" ht="24" customHeight="1">
      <c r="A27" s="5" t="inlineStr">
        <is>
          <t>一致番号でできる変数</t>
        </is>
      </c>
      <c r="B27" s="5" t="n"/>
      <c r="C27" s="5" t="n"/>
      <c r="D27" s="5" t="n"/>
      <c r="E27" s="5" t="n"/>
      <c r="F27" s="5" t="n"/>
      <c r="G27" s="5" t="n"/>
    </row>
    <row r="28" ht="28" customHeight="1">
      <c r="A28" s="6" t="inlineStr">
        <is>
          <t>一致番号</t>
        </is>
      </c>
      <c r="B28" s="6" t="inlineStr">
        <is>
          <t>access_token_re の中身</t>
        </is>
      </c>
      <c r="C28" s="6" t="inlineStr">
        <is>
          <t>ほかにできる変数</t>
        </is>
      </c>
      <c r="D28" s="6" t="inlineStr">
        <is>
          <t>トークンに使うか</t>
        </is>
      </c>
      <c r="E28" s="6" t="inlineStr"/>
      <c r="F28" s="6" t="inlineStr"/>
      <c r="G28" s="6" t="inlineStr"/>
    </row>
    <row r="29" ht="32" customHeight="1">
      <c r="A29" s="7" t="inlineStr">
        <is>
          <t>1</t>
        </is>
      </c>
      <c r="B29" s="7" t="inlineStr">
        <is>
          <t>テンプレートの結果。グループ 1。</t>
        </is>
      </c>
      <c r="C29" s="7" t="inlineStr">
        <is>
          <t>access_token_re_g0 が一致全体、_g1 がグループ 1。</t>
        </is>
      </c>
      <c r="D29" s="7" t="inlineStr">
        <is>
          <t>使う。</t>
        </is>
      </c>
      <c r="E29" s="7" t="inlineStr"/>
      <c r="F29" s="7" t="inlineStr"/>
      <c r="G29" s="7" t="inlineStr"/>
    </row>
    <row r="30" ht="32" customHeight="1">
      <c r="A30" s="8" t="inlineStr">
        <is>
          <t>0</t>
        </is>
      </c>
      <c r="B30" s="8" t="inlineStr">
        <is>
          <t>ヒットが複数あるとき、その場でどれか 1 つ。</t>
        </is>
      </c>
      <c r="C30" s="8" t="inlineStr">
        <is>
          <t>どれを取ったかは実行のたびに変わり得る。</t>
        </is>
      </c>
      <c r="D30" s="8" t="inlineStr">
        <is>
          <t>使わない。</t>
        </is>
      </c>
      <c r="E30" s="8" t="inlineStr"/>
      <c r="F30" s="8" t="inlineStr"/>
      <c r="G30" s="8" t="inlineStr"/>
    </row>
    <row r="31" ht="32" customHeight="1">
      <c r="A31" s="7" t="inlineStr">
        <is>
          <t>2</t>
        </is>
      </c>
      <c r="B31" s="7" t="inlineStr">
        <is>
          <t>2 番目のヒット。</t>
        </is>
      </c>
      <c r="C31" s="7" t="inlineStr">
        <is>
          <t>1 つしか無い応答では初期値。</t>
        </is>
      </c>
      <c r="D31" s="7" t="inlineStr">
        <is>
          <t>2 つ目のトークンが仕様のときだけ。</t>
        </is>
      </c>
      <c r="E31" s="7" t="inlineStr"/>
      <c r="F31" s="7" t="inlineStr"/>
      <c r="G31" s="7" t="inlineStr"/>
    </row>
    <row r="32" ht="44" customHeight="1">
      <c r="A32" s="8" t="inlineStr">
        <is>
          <t>-1</t>
        </is>
      </c>
      <c r="B32" s="8" t="inlineStr">
        <is>
          <t>初期値のまま。公式は、負の番号では参照名そのものを初期値にする、と書いている。</t>
        </is>
      </c>
      <c r="C32" s="8" t="inlineStr">
        <is>
          <t>access_token_re_1 に 1 件目、access_token_re_matchNr に件数。</t>
        </is>
      </c>
      <c r="D32" s="8" t="inlineStr">
        <is>
          <t>一覧を後で回すとき。Bearer には使わない。</t>
        </is>
      </c>
      <c r="E32" s="8" t="inlineStr"/>
      <c r="F32" s="8" t="inlineStr"/>
      <c r="G32" s="8" t="inlineStr"/>
    </row>
    <row r="34" ht="24" customHeight="1">
      <c r="A34" s="5" t="inlineStr">
        <is>
          <t>Regexp Tester で、式を先に確かめる</t>
        </is>
      </c>
      <c r="B34" s="5" t="n"/>
      <c r="C34" s="5" t="n"/>
      <c r="D34" s="5" t="n"/>
      <c r="E34" s="5" t="n"/>
      <c r="F34" s="5" t="n"/>
      <c r="G34" s="5" t="n"/>
    </row>
    <row r="35" ht="28" customHeight="1">
      <c r="A35" s="6" t="inlineStr">
        <is>
          <t>手順</t>
        </is>
      </c>
      <c r="B35" s="6" t="inlineStr">
        <is>
          <t>どこで</t>
        </is>
      </c>
      <c r="C35" s="6" t="inlineStr">
        <is>
          <t>操作</t>
        </is>
      </c>
      <c r="D35" s="6" t="inlineStr">
        <is>
          <t>入力する値</t>
        </is>
      </c>
      <c r="E35" s="6" t="inlineStr">
        <is>
          <t>うまくいったときの見え方</t>
        </is>
      </c>
      <c r="F35" s="6" t="inlineStr">
        <is>
          <t>つまずきやすい点</t>
        </is>
      </c>
      <c r="G35" s="6" t="inlineStr">
        <is>
          <t>画像</t>
        </is>
      </c>
    </row>
    <row r="36" ht="32" customHeight="1">
      <c r="A36" s="7" t="inlineStr">
        <is>
          <t>1</t>
        </is>
      </c>
      <c r="B36" s="7" t="inlineStr">
        <is>
          <t>1 人で実行</t>
        </is>
      </c>
      <c r="C36" s="7" t="inlineStr">
        <is>
          <t>35 の手順で、トークン取得が緑になっている。</t>
        </is>
      </c>
      <c r="D36" s="7" t="inlineStr">
        <is>
          <t>結果ツリーに HTTP_POST_cognito_token がある。</t>
        </is>
      </c>
      <c r="E36" s="7" t="inlineStr">
        <is>
          <t>行をクリックできる。</t>
        </is>
      </c>
      <c r="F36" s="7" t="inlineStr">
        <is>
          <t>負荷の人数のまま、テスターのために再実行しない。</t>
        </is>
      </c>
      <c r="G36" s="7" t="inlineStr"/>
    </row>
    <row r="37" ht="44" customHeight="1">
      <c r="A37" s="8" t="inlineStr">
        <is>
          <t>2</t>
        </is>
      </c>
      <c r="B37" s="8" t="inlineStr">
        <is>
          <t>下の一覧</t>
        </is>
      </c>
      <c r="C37" s="8" t="inlineStr">
        <is>
          <t>結果ツリーの下の表示形式で、Regexp Tester を選ぶ。日本語だと正規表現テスターのことがある。</t>
        </is>
      </c>
      <c r="D37" s="8" t="inlineStr">
        <is>
          <t>正規表現の入力欄が出る。</t>
        </is>
      </c>
      <c r="E37" s="8" t="inlineStr">
        <is>
          <t>欄が見える。</t>
        </is>
      </c>
      <c r="F37" s="8" t="inlineStr">
        <is>
          <t>Response data のタブを開いたまま、画面を撮影しない。</t>
        </is>
      </c>
      <c r="G37" s="8" t="inlineStr"/>
    </row>
    <row r="38" ht="32" customHeight="1">
      <c r="A38" s="7" t="inlineStr">
        <is>
          <t>3</t>
        </is>
      </c>
      <c r="B38" s="7" t="inlineStr">
        <is>
          <t>式</t>
        </is>
      </c>
      <c r="C38" s="7" t="inlineStr">
        <is>
          <t>正規表現の欄に、上の式を貼る。スラッシュでは囲まない。</t>
        </is>
      </c>
      <c r="D38" s="7" t="inlineStr">
        <is>
          <t>"access_token"\s*:\s*"([^"]+)"</t>
        </is>
      </c>
      <c r="E38" s="7" t="inlineStr">
        <is>
          <t>Test を押す。</t>
        </is>
      </c>
      <c r="F38" s="7" t="inlineStr">
        <is>
          <t>\\s と二重に貼ると、ヒット 0 になる。</t>
        </is>
      </c>
      <c r="G38" s="7" t="inlineStr">
        <is>
          <t>下の枠</t>
        </is>
      </c>
    </row>
    <row r="39" ht="44" customHeight="1">
      <c r="A39" s="8" t="inlineStr">
        <is>
          <t>4</t>
        </is>
      </c>
      <c r="B39" s="8" t="inlineStr">
        <is>
          <t>結果</t>
        </is>
      </c>
      <c r="C39" s="8" t="inlineStr">
        <is>
          <t>Match count と、group 1 を見る。</t>
        </is>
      </c>
      <c r="D39" s="8" t="inlineStr">
        <is>
          <t>件数が 1。group 1 がトークン本体で、キー名を含まない。</t>
        </is>
      </c>
      <c r="E39" s="8" t="inlineStr">
        <is>
          <t>式を抽出要素へコピーしてよい。</t>
        </is>
      </c>
      <c r="F39" s="8" t="inlineStr">
        <is>
          <t>group 1 の文字列を、メールや図に残さない。確認したらテスターを閉じる。</t>
        </is>
      </c>
      <c r="G39" s="8" t="inlineStr"/>
    </row>
    <row r="40" ht="68" customHeight="1">
      <c r="A40" s="7" t="inlineStr">
        <is>
          <t>5</t>
        </is>
      </c>
      <c r="B40" s="7" t="inlineStr">
        <is>
          <t>要素へ</t>
        </is>
      </c>
      <c r="C40" s="7" t="inlineStr">
        <is>
          <t>練習用の正規表現抽出を、トークンリクエストの子として足す。</t>
        </is>
      </c>
      <c r="D40" s="7" t="inlineStr">
        <is>
          <t>参照名は access_token_re。テンプレート $1$。一致番号 1。初期値 TOKEN_NOT_FOUND。</t>
        </is>
      </c>
      <c r="E40" s="7" t="inlineStr">
        <is>
          <t>もう一度 1 人で実行し、業務の Bearer は依然として ${__P(access_token)} のまま。</t>
        </is>
      </c>
      <c r="F40" s="7" t="inlineStr">
        <is>
          <t>参照名を access_token にして JSON Extractor より下に置くと、プロパティへコピーする値が正規表現側になる。練習が終わったら、この要素を無効にする。</t>
        </is>
      </c>
      <c r="G40" s="7" t="inlineStr"/>
    </row>
    <row r="41" ht="56" customHeight="1">
      <c r="A41" s="8" t="inlineStr">
        <is>
          <t>6</t>
        </is>
      </c>
      <c r="B41" s="8" t="inlineStr">
        <is>
          <t>期限の練習</t>
        </is>
      </c>
      <c r="C41" s="8" t="inlineStr">
        <is>
          <t>別の式で expires_in を抜く。</t>
        </is>
      </c>
      <c r="D41" s="8" t="inlineStr">
        <is>
          <t>"expires_in"\s*:\s*([0-9]+)</t>
        </is>
      </c>
      <c r="E41" s="8" t="inlineStr">
        <is>
          <t>グループ 1 が秒の数字。</t>
        </is>
      </c>
      <c r="F41" s="8" t="inlineStr">
        <is>
          <t>引用符を数字の周りに書くと、JSON の数にはヒットしない。expires_in は引用符で囲まれていない。</t>
        </is>
      </c>
      <c r="G41" s="8" t="inlineStr"/>
    </row>
    <row r="43" ht="22" customHeight="1">
      <c r="A43" s="14" t="inlineStr">
        <is>
          <t>IMG-52    画像差し込み枠    正規表現抽出の入力欄</t>
        </is>
      </c>
      <c r="B43" s="14" t="n"/>
      <c r="C43" s="14" t="n"/>
      <c r="D43" s="14" t="n"/>
      <c r="E43" s="14" t="n"/>
      <c r="F43" s="14" t="n"/>
      <c r="G43" s="14" t="n"/>
    </row>
    <row r="44" ht="148" customHeight="1">
      <c r="A44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練習用の要素を作ったあと。実行結果は開かない。
画角: 参照名 access_token_re、正規表現、テンプレート $1$、一致番号 1、初期値 TOKEN_NOT_FOUND が 1 画面に入る。
文章は図の下に隠れてもよい。どの図かは 32_画像台帳 の IMG-52 を見る。</t>
        </is>
      </c>
      <c r="B44" s="15" t="n"/>
      <c r="C44" s="15" t="n"/>
      <c r="D44" s="15" t="n"/>
      <c r="E44" s="15" t="n"/>
      <c r="F44" s="15" t="n"/>
      <c r="G44" s="15" t="n"/>
    </row>
    <row r="45" ht="22" customHeight="1">
      <c r="A45" s="14" t="inlineStr">
        <is>
          <t>IMG-53    画像差し込み枠    Regexp Tester の欄</t>
        </is>
      </c>
      <c r="B45" s="14" t="n"/>
      <c r="C45" s="14" t="n"/>
      <c r="D45" s="14" t="n"/>
      <c r="E45" s="14" t="n"/>
      <c r="F45" s="14" t="n"/>
      <c r="G45" s="14" t="n"/>
    </row>
    <row r="46" ht="148" customHeight="1">
      <c r="A46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Test を押す前が安全。押したあとに撮るなら、一致文字列が見えない範囲。
画角: ドロップダウンで Regexp Tester が選ばれている。応答本文と group の値がフレームに入っていない。
文章は図の下に隠れてもよい。どの図かは 32_画像台帳 の IMG-53 を見る。</t>
        </is>
      </c>
      <c r="B46" s="15" t="n"/>
      <c r="C46" s="15" t="n"/>
      <c r="D46" s="15" t="n"/>
      <c r="E46" s="15" t="n"/>
      <c r="F46" s="15" t="n"/>
      <c r="G46" s="15" t="n"/>
    </row>
    <row r="47" ht="24" customHeight="1">
      <c r="A47" s="5" t="inlineStr">
        <is>
          <t>JSON Extractor との使い分け</t>
        </is>
      </c>
      <c r="B47" s="5" t="n"/>
      <c r="C47" s="5" t="n"/>
      <c r="D47" s="5" t="n"/>
      <c r="E47" s="5" t="n"/>
      <c r="F47" s="5" t="n"/>
      <c r="G47" s="5" t="n"/>
    </row>
    <row r="48" ht="28" customHeight="1">
      <c r="A48" s="6" t="inlineStr">
        <is>
          <t>応答</t>
        </is>
      </c>
      <c r="B48" s="6" t="inlineStr">
        <is>
          <t>使う要素</t>
        </is>
      </c>
      <c r="C48" s="6" t="inlineStr">
        <is>
          <t>理由</t>
        </is>
      </c>
      <c r="D48" s="6" t="inlineStr">
        <is>
          <t>両方付けたとき</t>
        </is>
      </c>
      <c r="E48" s="6" t="inlineStr"/>
      <c r="F48" s="6" t="inlineStr"/>
      <c r="G48" s="6" t="inlineStr"/>
    </row>
    <row r="49" ht="32" customHeight="1">
      <c r="A49" s="7" t="inlineStr">
        <is>
          <t>Cognito のトークン JSON</t>
        </is>
      </c>
      <c r="B49" s="7" t="inlineStr">
        <is>
          <t>JSON Extractor</t>
        </is>
      </c>
      <c r="C49" s="7" t="inlineStr">
        <is>
          <t>パス $.access_token で足りる。空白の差を式で吸収しなくてよい。</t>
        </is>
      </c>
      <c r="D49" s="7" t="inlineStr">
        <is>
          <t>本番では正規表現側を無効にする。</t>
        </is>
      </c>
      <c r="E49" s="7" t="inlineStr"/>
      <c r="F49" s="7" t="inlineStr"/>
      <c r="G49" s="7" t="inlineStr"/>
    </row>
    <row r="50" ht="32" customHeight="1">
      <c r="A50" s="8" t="inlineStr">
        <is>
          <t>HTML、プレーンテキスト、区切りが崩れた 1 行</t>
        </is>
      </c>
      <c r="B50" s="8" t="inlineStr">
        <is>
          <t>正規表現抽出</t>
        </is>
      </c>
      <c r="C50" s="8" t="inlineStr">
        <is>
          <t>JSON Path は JSON 以外では空になる。</t>
        </is>
      </c>
      <c r="D50" s="8" t="inlineStr">
        <is>
          <t>初期値のままなら、式が本文と違う。</t>
        </is>
      </c>
      <c r="E50" s="8" t="inlineStr"/>
      <c r="F50" s="8" t="inlineStr"/>
      <c r="G50" s="8" t="inlineStr"/>
    </row>
    <row r="51" ht="32" customHeight="1">
      <c r="A51" s="7" t="inlineStr">
        <is>
          <t>始まりと終わりの文字列が固定</t>
        </is>
      </c>
      <c r="B51" s="7" t="inlineStr">
        <is>
          <t>境界抽出器</t>
        </is>
      </c>
      <c r="C51" s="7" t="inlineStr">
        <is>
          <t>正規表現より短い。11 のカタログ。</t>
        </is>
      </c>
      <c r="D51" s="7" t="inlineStr">
        <is>
          <t>境界の文字列が 2 回出ると、先の方を取る。</t>
        </is>
      </c>
      <c r="E51" s="7" t="inlineStr"/>
      <c r="F51" s="7" t="inlineStr"/>
      <c r="G51" s="7" t="inlineStr"/>
    </row>
    <row r="52" ht="32" customHeight="1">
      <c r="A52" s="8" t="inlineStr">
        <is>
          <t>成否だけ見たい</t>
        </is>
      </c>
      <c r="B52" s="8" t="inlineStr">
        <is>
          <t>応答アサーション</t>
        </is>
      </c>
      <c r="C52" s="8" t="inlineStr">
        <is>
          <t>値は残さない。エラー率にだけ効く。</t>
        </is>
      </c>
      <c r="D52" s="8" t="inlineStr">
        <is>
          <t>抽出とアサーションは別の要素。アサーションは変数を作らない。</t>
        </is>
      </c>
      <c r="E52" s="8" t="inlineStr"/>
      <c r="F52" s="8" t="inlineStr"/>
      <c r="G52" s="8" t="inlineStr"/>
    </row>
    <row r="54" ht="32" customHeight="1">
      <c r="A54" s="18" t="inlineStr">
        <is>
          <t>参照: https://jmeter.apache.org/usermanual/component_reference.html の Regular Expression Extractor と JSON Extractor。式の例の読み方は https://jmeter.apache.org/usermanual/regular_expressions.html 。テンプレート $1$ はグループ 1、$0$ は一致全体。一致番号 0 はランダム、負の番号は全件。</t>
        </is>
      </c>
      <c r="B54" s="18" t="n"/>
      <c r="C54" s="18" t="n"/>
      <c r="D54" s="18" t="n"/>
      <c r="E54" s="18" t="n"/>
      <c r="F54" s="18" t="n"/>
      <c r="G54" s="18" t="n"/>
    </row>
  </sheetData>
  <mergeCells count="17">
    <mergeCell ref="A44:G44"/>
    <mergeCell ref="A1:G1"/>
    <mergeCell ref="A17:G17"/>
    <mergeCell ref="A18:G18"/>
    <mergeCell ref="A27:G27"/>
    <mergeCell ref="A45:G45"/>
    <mergeCell ref="A3:G3"/>
    <mergeCell ref="A6:G6"/>
    <mergeCell ref="A34:G34"/>
    <mergeCell ref="A4:G4"/>
    <mergeCell ref="A2:G2"/>
    <mergeCell ref="A54:G54"/>
    <mergeCell ref="A7:G7"/>
    <mergeCell ref="A43:G43"/>
    <mergeCell ref="A47:G47"/>
    <mergeCell ref="A5:G5"/>
    <mergeCell ref="A46:G46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G32"/>
  <sheetViews>
    <sheetView showGridLines="0" showZeros="1" view="normal" zoomScale="100" workbookViewId="0">
      <pane ySplit="5" topLeftCell="A6" activePane="bottomLeft" state="frozen"/>
      <selection pane="bottomLeft" activeCell="A1" sqref="A1"/>
    </sheetView>
  </sheetViews>
  <sheetFormatPr baseColWidth="8" defaultColWidth="12" defaultRowHeight="18"/>
  <cols>
    <col width="14" customWidth="1" min="1" max="1"/>
    <col width="24" customWidth="1" min="2" max="2"/>
    <col width="38" customWidth="1" min="3" max="3"/>
    <col width="42" customWidth="1" min="4" max="4"/>
    <col width="32" customWidth="1" min="5" max="5"/>
    <col width="32" customWidth="1" min="6" max="6"/>
    <col width="16" customWidth="1" min="7" max="7"/>
  </cols>
  <sheetData>
    <row r="1" ht="8" customHeight="1">
      <c r="A1" s="1" t="inlineStr"/>
      <c r="B1" s="1" t="n"/>
      <c r="C1" s="1" t="n"/>
      <c r="D1" s="1" t="n"/>
      <c r="E1" s="1" t="n"/>
      <c r="F1" s="1" t="n"/>
      <c r="G1" s="1" t="n"/>
    </row>
    <row r="2" ht="16" customHeight="1">
      <c r="A2" s="16" t="inlineStr">
        <is>
          <t>ヘッダ</t>
        </is>
      </c>
      <c r="B2" s="16" t="n"/>
      <c r="C2" s="16" t="n"/>
      <c r="D2" s="16" t="n"/>
      <c r="E2" s="16" t="n"/>
      <c r="F2" s="16" t="n"/>
      <c r="G2" s="16" t="n"/>
    </row>
    <row r="3" ht="30" customHeight="1">
      <c r="A3" s="17" t="inlineStr">
        <is>
          <t>API Gateway へ、API キーの値をヘッダで渡す</t>
        </is>
      </c>
      <c r="B3" s="17" t="n"/>
      <c r="C3" s="17" t="n"/>
      <c r="D3" s="17" t="n"/>
      <c r="E3" s="17" t="n"/>
      <c r="F3" s="17" t="n"/>
      <c r="G3" s="17" t="n"/>
    </row>
    <row r="4" ht="32" customHeight="1">
      <c r="A4" s="18" t="inlineStr">
        <is>
          <t>値は ${__P(api_key)}。名前は合意メモの文字を、大文字小文字ごとそのまま入れる。</t>
        </is>
      </c>
      <c r="B4" s="18" t="n"/>
      <c r="C4" s="18" t="n"/>
      <c r="D4" s="18" t="n"/>
      <c r="E4" s="18" t="n"/>
      <c r="F4" s="18" t="n"/>
      <c r="G4" s="18" t="n"/>
    </row>
    <row r="5" ht="16" customHeight="1">
      <c r="A5" s="19" t="inlineStr">
        <is>
          <t>読み方: 上から順に行う。グレーの枠（IMG-番号）は後からスクリーンショットを入れる場所。白黒の印刷でも意味が変わる箇所はない。</t>
        </is>
      </c>
      <c r="B5" s="19" t="n"/>
      <c r="C5" s="19" t="n"/>
      <c r="D5" s="19" t="n"/>
      <c r="E5" s="19" t="n"/>
      <c r="F5" s="19" t="n"/>
      <c r="G5" s="19" t="n"/>
    </row>
    <row r="6" ht="24" customHeight="1">
      <c r="A6" s="5" t="inlineStr">
        <is>
          <t>名前を決めてから、欄を埋める</t>
        </is>
      </c>
      <c r="B6" s="5" t="n"/>
      <c r="C6" s="5" t="n"/>
      <c r="D6" s="5" t="n"/>
      <c r="E6" s="5" t="n"/>
      <c r="F6" s="5" t="n"/>
      <c r="G6" s="5" t="n"/>
    </row>
    <row r="7" ht="44" customHeight="1">
      <c r="A7" s="25" t="inlineStr">
        <is>
          <t>この手順書の記入例は、ヘッダ名を X-API-ID とする。値はその API キー。AWS の利用プランでメソッドに API キーを必須にし、API key source が HEADER のとき、公式の呼び方はヘッダ名 X-API-Key、値は API キー。その契約なら、名前の欄だけ X-API-Key と書く。値の式は同じ。x-apigw-api-id は別のヘッダで、中身は API の ID（abc123 のような識別子）。API キーの値ではない。プライベート API を、共有の VPC エンドポイント名で呼ぶときに追加で要ることがある。キーの代わりにはならない。</t>
        </is>
      </c>
      <c r="B7" s="25" t="n"/>
      <c r="C7" s="25" t="n"/>
      <c r="D7" s="25" t="n"/>
      <c r="E7" s="25" t="n"/>
      <c r="F7" s="25" t="n"/>
      <c r="G7" s="25" t="n"/>
    </row>
    <row r="8" ht="28" customHeight="1">
      <c r="A8" s="6" t="inlineStr">
        <is>
          <t>渡したいもの</t>
        </is>
      </c>
      <c r="B8" s="6" t="inlineStr">
        <is>
          <t>ヘッダ名</t>
        </is>
      </c>
      <c r="C8" s="6" t="inlineStr">
        <is>
          <t>値の欄</t>
        </is>
      </c>
      <c r="D8" s="6" t="inlineStr">
        <is>
          <t>付くリクエスト</t>
        </is>
      </c>
      <c r="E8" s="6" t="inlineStr">
        <is>
          <t>無いときの見え方</t>
        </is>
      </c>
      <c r="F8" s="6" t="inlineStr"/>
      <c r="G8" s="6" t="inlineStr"/>
    </row>
    <row r="9" ht="44" customHeight="1">
      <c r="A9" s="7" t="inlineStr">
        <is>
          <t>合意メモが X-API-ID</t>
        </is>
      </c>
      <c r="B9" s="7" t="inlineStr">
        <is>
          <t>X-API-ID</t>
        </is>
      </c>
      <c r="C9" s="7" t="inlineStr">
        <is>
          <t>${__P(api_key)}</t>
        </is>
      </c>
      <c r="D9" s="7" t="inlineStr">
        <is>
          <t>業務リクエストの子 HM_API だけ</t>
        </is>
      </c>
      <c r="E9" s="7" t="inlineStr">
        <is>
          <t>ゲートウェイの実装がこの名前を必須にしていれば 401 か 403。メッセージは実装による。</t>
        </is>
      </c>
      <c r="F9" s="7" t="inlineStr"/>
      <c r="G9" s="7" t="inlineStr"/>
    </row>
    <row r="10" ht="32" customHeight="1">
      <c r="A10" s="8" t="inlineStr">
        <is>
          <t>利用プランの API キー</t>
        </is>
      </c>
      <c r="B10" s="8" t="inlineStr">
        <is>
          <t>X-API-Key</t>
        </is>
      </c>
      <c r="C10" s="8" t="inlineStr">
        <is>
          <t>${__P(api_key)}</t>
        </is>
      </c>
      <c r="D10" s="8" t="inlineStr">
        <is>
          <t>同上。名前だけ変える。</t>
        </is>
      </c>
      <c r="E10" s="8" t="inlineStr">
        <is>
          <t>公式の説明では 403 Forbidden。InvalidKeyParameter の系統。</t>
        </is>
      </c>
      <c r="F10" s="8" t="inlineStr"/>
      <c r="G10" s="8" t="inlineStr"/>
    </row>
    <row r="11" ht="32" customHeight="1">
      <c r="A11" s="7" t="inlineStr">
        <is>
          <t>プライベート API の API ID</t>
        </is>
      </c>
      <c r="B11" s="7" t="inlineStr">
        <is>
          <t>x-apigw-api-id</t>
        </is>
      </c>
      <c r="C11" s="7" t="inlineStr">
        <is>
          <t>${__P(api.id)}。api_key とは別のプロパティ。</t>
        </is>
      </c>
      <c r="D11" s="7" t="inlineStr">
        <is>
          <t>その呼び方をする業務リクエスト</t>
        </is>
      </c>
      <c r="E11" s="7" t="inlineStr">
        <is>
          <t>名前解決はできても、別の API に届く、または 403。</t>
        </is>
      </c>
      <c r="F11" s="7" t="inlineStr"/>
      <c r="G11" s="7" t="inlineStr"/>
    </row>
    <row r="12" ht="32" customHeight="1">
      <c r="A12" s="8" t="inlineStr">
        <is>
          <t>アクセストークン</t>
        </is>
      </c>
      <c r="B12" s="8" t="inlineStr">
        <is>
          <t>Authorization</t>
        </is>
      </c>
      <c r="C12" s="8" t="inlineStr">
        <is>
          <t>Bearer ${__P(access_token)}</t>
        </is>
      </c>
      <c r="D12" s="8" t="inlineStr">
        <is>
          <t>業務リクエスト</t>
        </is>
      </c>
      <c r="E12" s="8" t="inlineStr">
        <is>
          <t>401。39 のキーとは別の列として数える。</t>
        </is>
      </c>
      <c r="F12" s="8" t="inlineStr"/>
      <c r="G12" s="8" t="inlineStr"/>
    </row>
    <row r="14" ht="24" customHeight="1">
      <c r="A14" s="5" t="inlineStr">
        <is>
          <t>画面での入れ方</t>
        </is>
      </c>
      <c r="B14" s="5" t="n"/>
      <c r="C14" s="5" t="n"/>
      <c r="D14" s="5" t="n"/>
      <c r="E14" s="5" t="n"/>
      <c r="F14" s="5" t="n"/>
      <c r="G14" s="5" t="n"/>
    </row>
    <row r="15" ht="28" customHeight="1">
      <c r="A15" s="6" t="inlineStr">
        <is>
          <t>手順</t>
        </is>
      </c>
      <c r="B15" s="6" t="inlineStr">
        <is>
          <t>どこで</t>
        </is>
      </c>
      <c r="C15" s="6" t="inlineStr">
        <is>
          <t>操作</t>
        </is>
      </c>
      <c r="D15" s="6" t="inlineStr">
        <is>
          <t>入力する値</t>
        </is>
      </c>
      <c r="E15" s="6" t="inlineStr">
        <is>
          <t>うまくいったときの見え方</t>
        </is>
      </c>
      <c r="F15" s="6" t="inlineStr">
        <is>
          <t>つまずきやすい点</t>
        </is>
      </c>
      <c r="G15" s="6" t="inlineStr">
        <is>
          <t>画像</t>
        </is>
      </c>
    </row>
    <row r="16" ht="56" customHeight="1">
      <c r="A16" s="7" t="inlineStr">
        <is>
          <t>1</t>
        </is>
      </c>
      <c r="B16" s="7" t="inlineStr">
        <is>
          <t>secrets.properties</t>
        </is>
      </c>
      <c r="C16" s="7" t="inlineStr">
        <is>
          <t>api_key の行に、発行された API キーの値を入れる。</t>
        </is>
      </c>
      <c r="D16" s="7" t="inlineStr">
        <is>
          <t>api_key=現場の値</t>
        </is>
      </c>
      <c r="E16" s="7" t="inlineStr">
        <is>
          <t>引用符無し。</t>
        </is>
      </c>
      <c r="F16" s="7" t="inlineStr">
        <is>
          <t>load.properties に同じキーを書かない。-q を 2 つ付けるとき、後のファイルが同じキーを上書きする。</t>
        </is>
      </c>
      <c r="G16" s="7" t="inlineStr"/>
    </row>
    <row r="17" ht="32" customHeight="1">
      <c r="A17" s="8" t="inlineStr">
        <is>
          <t>2</t>
        </is>
      </c>
      <c r="B17" s="8" t="inlineStr">
        <is>
          <t>HTTP_GET_orders を右クリック</t>
        </is>
      </c>
      <c r="C17" s="8" t="inlineStr">
        <is>
          <t>追加 → 設定エレメント → HTTPヘッダマネージャ。</t>
        </is>
      </c>
      <c r="D17" s="8" t="inlineStr">
        <is>
          <t>名前 HM_API。このリクエストの子。</t>
        </is>
      </c>
      <c r="E17" s="8" t="inlineStr">
        <is>
          <t>左の木で、業務リクエストの 1 段下。</t>
        </is>
      </c>
      <c r="F17" s="8" t="inlineStr">
        <is>
          <t>テスト計画や setUp に置かない。</t>
        </is>
      </c>
      <c r="G17" s="8" t="inlineStr">
        <is>
          <t>下の枠</t>
        </is>
      </c>
    </row>
    <row r="18" ht="32" customHeight="1">
      <c r="A18" s="7" t="inlineStr">
        <is>
          <t>3</t>
        </is>
      </c>
      <c r="B18" s="7" t="inlineStr">
        <is>
          <t>1 行目</t>
        </is>
      </c>
      <c r="C18" s="7" t="inlineStr">
        <is>
          <t>トークン。</t>
        </is>
      </c>
      <c r="D18" s="7" t="inlineStr">
        <is>
          <t>名前 Authorization、値 Bearer ${__P(access_token)}</t>
        </is>
      </c>
      <c r="E18" s="7" t="inlineStr">
        <is>
          <t>Bearer の直後が半角空白。</t>
        </is>
      </c>
      <c r="F18" s="7" t="inlineStr">
        <is>
          <t>${access_token} ではない。37。</t>
        </is>
      </c>
      <c r="G18" s="7" t="inlineStr"/>
    </row>
    <row r="19" ht="32" customHeight="1">
      <c r="A19" s="8" t="inlineStr">
        <is>
          <t>4</t>
        </is>
      </c>
      <c r="B19" s="8" t="inlineStr">
        <is>
          <t>2 行目</t>
        </is>
      </c>
      <c r="C19" s="8" t="inlineStr">
        <is>
          <t>API キー。記入例。</t>
        </is>
      </c>
      <c r="D19" s="8" t="inlineStr">
        <is>
          <t>名前 X-API-ID、値 ${__P(api_key)}</t>
        </is>
      </c>
      <c r="E19" s="8" t="inlineStr">
        <is>
          <t>名前が合意メモと 1 文字も違わない。</t>
        </is>
      </c>
      <c r="F19" s="8" t="inlineStr">
        <is>
          <t>値の欄にキーを貼り付ける。jmx に残る。</t>
        </is>
      </c>
      <c r="G19" s="8" t="inlineStr"/>
    </row>
    <row r="20" ht="44" customHeight="1">
      <c r="A20" s="7" t="inlineStr">
        <is>
          <t>5</t>
        </is>
      </c>
      <c r="B20" s="7" t="inlineStr">
        <is>
          <t>標準の利用プランのとき</t>
        </is>
      </c>
      <c r="C20" s="7" t="inlineStr">
        <is>
          <t>手順 4 の名前だけを変える。</t>
        </is>
      </c>
      <c r="D20" s="7" t="inlineStr">
        <is>
          <t>名前 X-API-Key、値 ${__P(api_key)}</t>
        </is>
      </c>
      <c r="E20" s="7" t="inlineStr">
        <is>
          <t>run-conditions.txt の api_header の文字も、実際に送った名前へ変える。</t>
        </is>
      </c>
      <c r="F20" s="7" t="inlineStr">
        <is>
          <t>X-API-ID と X-API-Key を両方付けて、どちらが効いたか分からない状態で報告する。</t>
        </is>
      </c>
      <c r="G20" s="7" t="inlineStr"/>
    </row>
    <row r="21" ht="56" customHeight="1">
      <c r="A21" s="8" t="inlineStr">
        <is>
          <t>6</t>
        </is>
      </c>
      <c r="B21" s="8" t="inlineStr">
        <is>
          <t>1 人で実行</t>
        </is>
      </c>
      <c r="C21" s="8" t="inlineStr">
        <is>
          <t>35 の手順 35。</t>
        </is>
      </c>
      <c r="D21" s="8" t="inlineStr">
        <is>
          <t>業務の Request に、決めた名前がある。値の位置に ${__P(api_key)} が残っていない。</t>
        </is>
      </c>
      <c r="E21" s="8" t="inlineStr">
        <is>
          <t>応答 200。</t>
        </is>
      </c>
      <c r="F21" s="8" t="inlineStr">
        <is>
          <t>トークン取得の Request に、同じ名前が付いていないか見る。付いていたら HM の置き場所を戻す。</t>
        </is>
      </c>
      <c r="G21" s="8" t="inlineStr"/>
    </row>
    <row r="22" ht="44" customHeight="1">
      <c r="A22" s="7" t="inlineStr">
        <is>
          <t>7</t>
        </is>
      </c>
      <c r="B22" s="7" t="inlineStr">
        <is>
          <t>CLI</t>
        </is>
      </c>
      <c r="C22" s="7" t="inlineStr">
        <is>
          <t>secrets.properties を chmod 600 で置き、-q を 2 回付ける。</t>
        </is>
      </c>
      <c r="D22" s="7" t="inlineStr">
        <is>
          <t>35 の run-api.sh。</t>
        </is>
      </c>
      <c r="E22" s="7" t="inlineStr">
        <is>
          <t>1 人の CLI で Err が 0。</t>
        </is>
      </c>
      <c r="F22" s="7" t="inlineStr">
        <is>
          <t>api_key を -J のコマンドラインへ直書きして、シェル履歴に残す。</t>
        </is>
      </c>
      <c r="G22" s="7" t="inlineStr"/>
    </row>
    <row r="24" ht="22" customHeight="1">
      <c r="A24" s="14" t="inlineStr">
        <is>
          <t>IMG-54    画像差し込み枠    HM_API のヘッダ 2 行</t>
        </is>
      </c>
      <c r="B24" s="14" t="n"/>
      <c r="C24" s="14" t="n"/>
      <c r="D24" s="14" t="n"/>
      <c r="E24" s="14" t="n"/>
      <c r="F24" s="14" t="n"/>
      <c r="G24" s="14" t="n"/>
    </row>
    <row r="25" ht="148" customHeight="1">
      <c r="A25" s="15" t="inlineStr">
        <is>
          <t>このグレーの枠へ、後から図を入れる。
入れ方: 枠のセルを選択 → 挿入 → 画像 → このデバイス → 図を選ぶ → 図を右クリック → サイズとプロパティ → プロパティ → 「セルに合わせて移動やサイズ変更をする」 → 枠の中に収める。
撮るタイミング: 実行前。
画角: 名前 Authorization と X-API-ID（または合意した X-API-Key）。値は式。実キーとトークンは写さない。
文章は図の下に隠れてもよい。どの図かは 32_画像台帳 の IMG-54 を見る。</t>
        </is>
      </c>
      <c r="B25" s="15" t="n"/>
      <c r="C25" s="15" t="n"/>
      <c r="D25" s="15" t="n"/>
      <c r="E25" s="15" t="n"/>
      <c r="F25" s="15" t="n"/>
      <c r="G25" s="15" t="n"/>
    </row>
    <row r="26" ht="24" customHeight="1">
      <c r="A26" s="5" t="inlineStr">
        <is>
          <t>403 と 401 の分け方</t>
        </is>
      </c>
      <c r="B26" s="5" t="n"/>
      <c r="C26" s="5" t="n"/>
      <c r="D26" s="5" t="n"/>
      <c r="E26" s="5" t="n"/>
      <c r="F26" s="5" t="n"/>
      <c r="G26" s="5" t="n"/>
    </row>
    <row r="27" ht="28" customHeight="1">
      <c r="A27" s="6" t="inlineStr">
        <is>
          <t>応答</t>
        </is>
      </c>
      <c r="B27" s="6" t="inlineStr">
        <is>
          <t>先に見ること</t>
        </is>
      </c>
      <c r="C27" s="6" t="inlineStr">
        <is>
          <t>キー側で直すこと</t>
        </is>
      </c>
      <c r="D27" s="6" t="inlineStr">
        <is>
          <t>トークン側で直すこと</t>
        </is>
      </c>
      <c r="E27" s="6" t="inlineStr"/>
      <c r="F27" s="6" t="inlineStr"/>
      <c r="G27" s="6" t="inlineStr"/>
    </row>
    <row r="28" ht="56" customHeight="1">
      <c r="A28" s="7" t="inlineStr">
        <is>
          <t>403 Forbidden</t>
        </is>
      </c>
      <c r="B28" s="7" t="inlineStr">
        <is>
          <t>送ったヘッダ名が、ゲートウェイの期待と一致しているか。</t>
        </is>
      </c>
      <c r="C28" s="7" t="inlineStr">
        <is>
          <t>X-API-Key が契約なのに X-API-ID を送っていないか。値の取り違え。利用プランにステージが無い。メソッドで API キー必須なのに、デプロイし直していない。</t>
        </is>
      </c>
      <c r="D28" s="7" t="inlineStr">
        <is>
          <t>403 の主因にしにくい。Bearer が完全に欠けると 401 であることが多い。両方欠けることもあるので、Request を 1 回見れば足りる。</t>
        </is>
      </c>
      <c r="E28" s="7" t="inlineStr"/>
      <c r="F28" s="7" t="inlineStr"/>
      <c r="G28" s="7" t="inlineStr"/>
    </row>
    <row r="29" ht="44" customHeight="1">
      <c r="A29" s="8" t="inlineStr">
        <is>
          <t>401 Unauthorized</t>
        </is>
      </c>
      <c r="B29" s="8" t="inlineStr">
        <is>
          <t>Authorization が Bearer で始まるか。</t>
        </is>
      </c>
      <c r="C29" s="8" t="inlineStr">
        <is>
          <t>キー名の間違いだけでは 401 にならない実装が多い。それでも Request にキーがあるかは見る。</t>
        </is>
      </c>
      <c r="D29" s="8" t="inlineStr">
        <is>
          <t>37。期限、scope、${__P(access_token)} の書き間違い。</t>
        </is>
      </c>
      <c r="E29" s="8" t="inlineStr"/>
      <c r="F29" s="8" t="inlineStr"/>
      <c r="G29" s="8" t="inlineStr"/>
    </row>
    <row r="30" ht="44" customHeight="1">
      <c r="A30" s="7" t="inlineStr">
        <is>
          <t>200 なのに中身が拒否</t>
        </is>
      </c>
      <c r="B30" s="7" t="inlineStr">
        <is>
          <t>応答アサーションがコードだけだと緑になる。</t>
        </is>
      </c>
      <c r="C30" s="7" t="inlineStr">
        <is>
          <t>本文のメッセージを、1 人の実行のときだけその場で読む。jtl には残さない設定のまま。</t>
        </is>
      </c>
      <c r="D30" s="7" t="inlineStr">
        <is>
          <t>本文を「含む」アサーションにしない。件数が多い試験のエラー率はコードと、必要な最小の検査に限る。</t>
        </is>
      </c>
      <c r="E30" s="7" t="inlineStr"/>
      <c r="F30" s="7" t="inlineStr"/>
      <c r="G30" s="7" t="inlineStr"/>
    </row>
    <row r="32" ht="44" customHeight="1">
      <c r="A32" s="18" t="inlineStr">
        <is>
          <t>参照: API キーを付けた呼び出しの公式の例は、ヘッダ X-API-Key。 https://docs.aws.amazon.com/apigateway/latest/developerguide/api-gateway-api-key-call.html キーの出所が HEADER の説明は https://docs.aws.amazon.com/apigateway/latest/developerguide/api-gateway-api-key-source.html 。合意した名前が X-API-ID の現場は、公式の例の名前だけを合意の名前に変える。値の渡し方（プロパティ、業務リクエストの子、Cognito には付けない）は同じ。</t>
        </is>
      </c>
      <c r="B32" s="18" t="n"/>
      <c r="C32" s="18" t="n"/>
      <c r="D32" s="18" t="n"/>
      <c r="E32" s="18" t="n"/>
      <c r="F32" s="18" t="n"/>
      <c r="G32" s="18" t="n"/>
    </row>
  </sheetData>
  <mergeCells count="12">
    <mergeCell ref="A32:G32"/>
    <mergeCell ref="A14:G14"/>
    <mergeCell ref="A1:G1"/>
    <mergeCell ref="A3:G3"/>
    <mergeCell ref="A6:G6"/>
    <mergeCell ref="A4:G4"/>
    <mergeCell ref="A26:G26"/>
    <mergeCell ref="A24:G24"/>
    <mergeCell ref="A2:G2"/>
    <mergeCell ref="A7:G7"/>
    <mergeCell ref="A25:G25"/>
    <mergeCell ref="A5:G5"/>
  </mergeCells>
  <printOptions horizontalCentered="1" gridLines="0"/>
  <pageMargins left="0.45" right="0.45" top="0.7" bottom="0.55" header="0.28" footer="0.28"/>
  <pageSetup orientation="landscape" paperSize="8" fitToHeight="0" fitToWidth="1" pageOrder="overThenDown"/>
  <headerFooter>
    <oddHeader>&amp;L&amp;"Meiryo UI,Regular"JMeter 現場手順  取得 / シナリオ / CLI / Excel見込み分析&amp;R&amp;"Meiryo UI,Regular"Meiryo UI  /  モノトーン</oddHeader>
    <oddFooter>&amp;L&amp;"Meiryo UI,Regular"対象: Apache JMeter 5.6.3  /  実行Java: 17 推奨  /  参照日 2026-10-04&amp;C&amp;"Meiryo UI,Regular"&amp;P / &amp;N&amp;R&amp;"Meiryo UI,Regular"図は IMG 番号の枠へ後から挿入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JMeter field manual</dc:creator>
  <dc:title xmlns:dc="http://purl.org/dc/elements/1.1/">JMeter現場手順 取得からCLI実行とExcel見込み分析</dc:title>
  <dc:description xmlns:dc="http://purl.org/dc/elements/1.1/">初心者向け現場手順。フォントは Meiryo UI。色はモノトーン。画像枠は後から図を挿入する。</dc:description>
  <dc:subject xmlns:dc="http://purl.org/dc/elements/1.1/">Apache JMeter 5.6.3 を Windows 11 で作成し Linux で CLI 実行し Excel で報告する</dc:subject>
  <dcterms:created xmlns:dcterms="http://purl.org/dc/terms/" xmlns:xsi="http://www.w3.org/2001/XMLSchema-instance" xsi:type="dcterms:W3CDTF">2026-10-04T02:14:24Z</dcterms:created>
  <dcterms:modified xmlns:dcterms="http://purl.org/dc/terms/" xmlns:xsi="http://www.w3.org/2001/XMLSchema-instance" xsi:type="dcterms:W3CDTF">2026-10-04T02:14:27Z</dcterms:modified>
  <cp:category>手順書</cp:category>
  <cp:keywords>JMeter,JMX,JTL,負荷試験,Meiryo UI</cp:keywords>
</cp:coreProperties>
</file>